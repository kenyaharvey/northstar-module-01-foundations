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nyaharvey/northstar-coursework/module-01-foundations-of-analytics-and-statistics/lesson-1-8-bootstrap/"/>
    </mc:Choice>
  </mc:AlternateContent>
  <xr:revisionPtr revIDLastSave="0" documentId="13_ncr:1_{644DCA13-A0D4-6A45-A58A-FFE1DA8C22EE}" xr6:coauthVersionLast="47" xr6:coauthVersionMax="47" xr10:uidLastSave="{00000000-0000-0000-0000-000000000000}"/>
  <bookViews>
    <workbookView xWindow="1100" yWindow="900" windowWidth="28040" windowHeight="17180" activeTab="1" xr2:uid="{F6A83419-28F0-A644-8AD6-2D70765D3544}"/>
  </bookViews>
  <sheets>
    <sheet name="skyline_enrollments" sheetId="1" r:id="rId1"/>
    <sheet name="Bootstrap" sheetId="8" r:id="rId2"/>
  </sheets>
  <definedNames>
    <definedName name="_xlchart.v1.0" hidden="1">Bootstrap!$K$1</definedName>
    <definedName name="_xlchart.v1.1" hidden="1">Bootstrap!$K$2:$K$101</definedName>
    <definedName name="_xlchart.v1.10" hidden="1">Bootstrap!$L$1</definedName>
    <definedName name="_xlchart.v1.11" hidden="1">Bootstrap!$L$2:$L$101</definedName>
    <definedName name="_xlchart.v1.2" hidden="1">Bootstrap!$L$1</definedName>
    <definedName name="_xlchart.v1.3" hidden="1">Bootstrap!$L$2:$L$101</definedName>
    <definedName name="_xlchart.v1.4" hidden="1">Bootstrap!$L$1</definedName>
    <definedName name="_xlchart.v1.5" hidden="1">Bootstrap!$L$2:$L$101</definedName>
    <definedName name="_xlchart.v1.6" hidden="1">Bootstrap!$L$1</definedName>
    <definedName name="_xlchart.v1.7" hidden="1">Bootstrap!$L$2:$L$101</definedName>
    <definedName name="_xlchart.v1.8" hidden="1">Bootstrap!$L$1</definedName>
    <definedName name="_xlchart.v1.9" hidden="1">Bootstrap!$L$2:$L$101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8" l="1" a="1"/>
  <c r="F4" i="8" s="1"/>
  <c r="F5" i="8" a="1"/>
  <c r="F5" i="8" s="1"/>
  <c r="F6" i="8" a="1"/>
  <c r="F6" i="8" s="1"/>
  <c r="F7" i="8" a="1"/>
  <c r="F7" i="8" s="1"/>
  <c r="F8" i="8" a="1"/>
  <c r="F8" i="8" s="1"/>
  <c r="F9" i="8" a="1"/>
  <c r="F9" i="8" s="1"/>
  <c r="F10" i="8" a="1"/>
  <c r="F10" i="8" s="1"/>
  <c r="F11" i="8" a="1"/>
  <c r="F11" i="8" s="1"/>
  <c r="F12" i="8" a="1"/>
  <c r="F12" i="8" s="1"/>
  <c r="F13" i="8" a="1"/>
  <c r="F13" i="8" s="1"/>
  <c r="F14" i="8" a="1"/>
  <c r="F14" i="8" s="1"/>
  <c r="F15" i="8" a="1"/>
  <c r="F15" i="8" s="1"/>
  <c r="F16" i="8" a="1"/>
  <c r="F16" i="8" s="1"/>
  <c r="F17" i="8" a="1"/>
  <c r="F17" i="8" s="1"/>
  <c r="F18" i="8" a="1"/>
  <c r="F18" i="8" s="1"/>
  <c r="F19" i="8" a="1"/>
  <c r="F19" i="8" s="1"/>
  <c r="F20" i="8" a="1"/>
  <c r="F20" i="8" s="1"/>
  <c r="F21" i="8" a="1"/>
  <c r="F21" i="8" s="1"/>
  <c r="F22" i="8" a="1"/>
  <c r="F22" i="8" s="1"/>
  <c r="F23" i="8" a="1"/>
  <c r="F23" i="8" s="1"/>
  <c r="F24" i="8" a="1"/>
  <c r="F24" i="8" s="1"/>
  <c r="F25" i="8" a="1"/>
  <c r="F25" i="8" s="1"/>
  <c r="F26" i="8" a="1"/>
  <c r="F26" i="8" s="1"/>
  <c r="F27" i="8" a="1"/>
  <c r="F27" i="8" s="1"/>
  <c r="F28" i="8" a="1"/>
  <c r="F28" i="8" s="1"/>
  <c r="F29" i="8" a="1"/>
  <c r="F29" i="8" s="1"/>
  <c r="F30" i="8" a="1"/>
  <c r="F30" i="8" s="1"/>
  <c r="F31" i="8" a="1"/>
  <c r="F31" i="8" s="1"/>
  <c r="F32" i="8" a="1"/>
  <c r="F32" i="8" s="1"/>
  <c r="F33" i="8" a="1"/>
  <c r="F33" i="8" s="1"/>
  <c r="F34" i="8" a="1"/>
  <c r="F34" i="8" s="1"/>
  <c r="F35" i="8" a="1"/>
  <c r="F35" i="8" s="1"/>
  <c r="F36" i="8" a="1"/>
  <c r="F36" i="8" s="1"/>
  <c r="F37" i="8" a="1"/>
  <c r="F37" i="8" s="1"/>
  <c r="F38" i="8" a="1"/>
  <c r="F38" i="8" s="1"/>
  <c r="F39" i="8" a="1"/>
  <c r="F39" i="8" s="1"/>
  <c r="F40" i="8" a="1"/>
  <c r="F40" i="8" s="1"/>
  <c r="F41" i="8" a="1"/>
  <c r="F41" i="8" s="1"/>
  <c r="F42" i="8" a="1"/>
  <c r="F42" i="8" s="1"/>
  <c r="F43" i="8" a="1"/>
  <c r="F43" i="8" s="1"/>
  <c r="F44" i="8" a="1"/>
  <c r="F44" i="8" s="1"/>
  <c r="F45" i="8" a="1"/>
  <c r="F45" i="8" s="1"/>
  <c r="F46" i="8" a="1"/>
  <c r="F46" i="8" s="1"/>
  <c r="F47" i="8" a="1"/>
  <c r="F47" i="8" s="1"/>
  <c r="F48" i="8" a="1"/>
  <c r="F48" i="8" s="1"/>
  <c r="F49" i="8" a="1"/>
  <c r="F49" i="8" s="1"/>
  <c r="F50" i="8" a="1"/>
  <c r="F50" i="8" s="1"/>
  <c r="F51" i="8" a="1"/>
  <c r="F51" i="8" s="1"/>
  <c r="F52" i="8" a="1"/>
  <c r="F52" i="8" s="1"/>
  <c r="F53" i="8" a="1"/>
  <c r="F53" i="8" s="1"/>
  <c r="F54" i="8" a="1"/>
  <c r="F54" i="8" s="1"/>
  <c r="F55" i="8" a="1"/>
  <c r="F55" i="8" s="1"/>
  <c r="F56" i="8" a="1"/>
  <c r="F56" i="8" s="1"/>
  <c r="F57" i="8" a="1"/>
  <c r="F57" i="8" s="1"/>
  <c r="F58" i="8" a="1"/>
  <c r="F58" i="8" s="1"/>
  <c r="F59" i="8" a="1"/>
  <c r="F59" i="8" s="1"/>
  <c r="F60" i="8" a="1"/>
  <c r="F60" i="8" s="1"/>
  <c r="F61" i="8" a="1"/>
  <c r="F61" i="8" s="1"/>
  <c r="F62" i="8" a="1"/>
  <c r="F62" i="8" s="1"/>
  <c r="F63" i="8" a="1"/>
  <c r="F63" i="8" s="1"/>
  <c r="F64" i="8" a="1"/>
  <c r="F64" i="8" s="1"/>
  <c r="F65" i="8" a="1"/>
  <c r="F65" i="8" s="1"/>
  <c r="F66" i="8" a="1"/>
  <c r="F66" i="8" s="1"/>
  <c r="F67" i="8" a="1"/>
  <c r="F67" i="8" s="1"/>
  <c r="F68" i="8" a="1"/>
  <c r="F68" i="8" s="1"/>
  <c r="F69" i="8" a="1"/>
  <c r="F69" i="8" s="1"/>
  <c r="F70" i="8" a="1"/>
  <c r="F70" i="8" s="1"/>
  <c r="F71" i="8" a="1"/>
  <c r="F71" i="8" s="1"/>
  <c r="F72" i="8" a="1"/>
  <c r="F72" i="8" s="1"/>
  <c r="F73" i="8" a="1"/>
  <c r="F73" i="8" s="1"/>
  <c r="F74" i="8" a="1"/>
  <c r="F74" i="8" s="1"/>
  <c r="F75" i="8" a="1"/>
  <c r="F75" i="8" s="1"/>
  <c r="F76" i="8" a="1"/>
  <c r="F76" i="8" s="1"/>
  <c r="F77" i="8" a="1"/>
  <c r="F77" i="8" s="1"/>
  <c r="F78" i="8" a="1"/>
  <c r="F78" i="8" s="1"/>
  <c r="F79" i="8" a="1"/>
  <c r="F79" i="8" s="1"/>
  <c r="F80" i="8" a="1"/>
  <c r="F80" i="8" s="1"/>
  <c r="F81" i="8" a="1"/>
  <c r="F81" i="8" s="1"/>
  <c r="F82" i="8" a="1"/>
  <c r="F82" i="8" s="1"/>
  <c r="F83" i="8" a="1"/>
  <c r="F83" i="8" s="1"/>
  <c r="F84" i="8" a="1"/>
  <c r="F84" i="8" s="1"/>
  <c r="F85" i="8" a="1"/>
  <c r="F85" i="8" s="1"/>
  <c r="F86" i="8" a="1"/>
  <c r="F86" i="8" s="1"/>
  <c r="F87" i="8" a="1"/>
  <c r="F87" i="8" s="1"/>
  <c r="F88" i="8" a="1"/>
  <c r="F88" i="8" s="1"/>
  <c r="F89" i="8" a="1"/>
  <c r="F89" i="8" s="1"/>
  <c r="F90" i="8" a="1"/>
  <c r="F90" i="8" s="1"/>
  <c r="F91" i="8" a="1"/>
  <c r="F91" i="8" s="1"/>
  <c r="F92" i="8" a="1"/>
  <c r="F92" i="8" s="1"/>
  <c r="F93" i="8" a="1"/>
  <c r="F93" i="8" s="1"/>
  <c r="F94" i="8" a="1"/>
  <c r="F94" i="8" s="1"/>
  <c r="F95" i="8" a="1"/>
  <c r="F95" i="8" s="1"/>
  <c r="F96" i="8" a="1"/>
  <c r="F96" i="8" s="1"/>
  <c r="F97" i="8" a="1"/>
  <c r="F97" i="8" s="1"/>
  <c r="F98" i="8" a="1"/>
  <c r="F98" i="8" s="1"/>
  <c r="F99" i="8" a="1"/>
  <c r="F99" i="8" s="1"/>
  <c r="F100" i="8" a="1"/>
  <c r="F100" i="8" s="1"/>
  <c r="F101" i="8" a="1"/>
  <c r="F101" i="8" s="1"/>
  <c r="H101" i="8" s="1"/>
  <c r="L101" i="8" s="1"/>
  <c r="F3" i="8" a="1"/>
  <c r="F3" i="8" s="1"/>
  <c r="F2" i="8" a="1"/>
  <c r="F2" i="8" s="1"/>
  <c r="G2" i="8" s="1"/>
  <c r="K2" i="8" s="1"/>
  <c r="D3" i="8"/>
  <c r="D2" i="8"/>
  <c r="D1" i="8"/>
  <c r="H72" i="8" l="1"/>
  <c r="L72" i="8" s="1"/>
  <c r="H9" i="8"/>
  <c r="L9" i="8" s="1"/>
  <c r="H62" i="8"/>
  <c r="L62" i="8" s="1"/>
  <c r="H92" i="8"/>
  <c r="L92" i="8" s="1"/>
  <c r="H42" i="8"/>
  <c r="L42" i="8" s="1"/>
  <c r="H61" i="8"/>
  <c r="L61" i="8" s="1"/>
  <c r="G100" i="8"/>
  <c r="K100" i="8" s="1"/>
  <c r="G60" i="8"/>
  <c r="K60" i="8" s="1"/>
  <c r="H58" i="8"/>
  <c r="L58" i="8" s="1"/>
  <c r="H77" i="8"/>
  <c r="L77" i="8" s="1"/>
  <c r="H91" i="8"/>
  <c r="L91" i="8" s="1"/>
  <c r="H51" i="8"/>
  <c r="L51" i="8" s="1"/>
  <c r="H31" i="8"/>
  <c r="L31" i="8" s="1"/>
  <c r="G80" i="8"/>
  <c r="K80" i="8" s="1"/>
  <c r="G50" i="8"/>
  <c r="K50" i="8" s="1"/>
  <c r="H98" i="8"/>
  <c r="L98" i="8" s="1"/>
  <c r="H68" i="8"/>
  <c r="L68" i="8" s="1"/>
  <c r="H28" i="8"/>
  <c r="L28" i="8" s="1"/>
  <c r="H87" i="8"/>
  <c r="L87" i="8" s="1"/>
  <c r="H47" i="8"/>
  <c r="L47" i="8" s="1"/>
  <c r="H37" i="8"/>
  <c r="L37" i="8" s="1"/>
  <c r="H96" i="8"/>
  <c r="L96" i="8" s="1"/>
  <c r="H86" i="8"/>
  <c r="L86" i="8" s="1"/>
  <c r="H76" i="8"/>
  <c r="L76" i="8" s="1"/>
  <c r="G67" i="8"/>
  <c r="K67" i="8" s="1"/>
  <c r="H56" i="8"/>
  <c r="L56" i="8" s="1"/>
  <c r="H46" i="8"/>
  <c r="L46" i="8" s="1"/>
  <c r="H36" i="8"/>
  <c r="L36" i="8" s="1"/>
  <c r="H26" i="8"/>
  <c r="L26" i="8" s="1"/>
  <c r="H16" i="8"/>
  <c r="L16" i="8" s="1"/>
  <c r="H5" i="8"/>
  <c r="L5" i="8" s="1"/>
  <c r="H3" i="8"/>
  <c r="L3" i="8" s="1"/>
  <c r="H71" i="8"/>
  <c r="L71" i="8" s="1"/>
  <c r="H21" i="8"/>
  <c r="L21" i="8" s="1"/>
  <c r="G70" i="8"/>
  <c r="K70" i="8" s="1"/>
  <c r="H78" i="8"/>
  <c r="L78" i="8" s="1"/>
  <c r="H38" i="8"/>
  <c r="L38" i="8" s="1"/>
  <c r="H97" i="8"/>
  <c r="L97" i="8" s="1"/>
  <c r="H57" i="8"/>
  <c r="L57" i="8" s="1"/>
  <c r="H17" i="8"/>
  <c r="L17" i="8" s="1"/>
  <c r="H85" i="8"/>
  <c r="L85" i="8" s="1"/>
  <c r="H55" i="8"/>
  <c r="L55" i="8" s="1"/>
  <c r="H45" i="8"/>
  <c r="L45" i="8" s="1"/>
  <c r="H25" i="8"/>
  <c r="L25" i="8" s="1"/>
  <c r="H41" i="8"/>
  <c r="L41" i="8" s="1"/>
  <c r="G90" i="8"/>
  <c r="K90" i="8" s="1"/>
  <c r="G40" i="8"/>
  <c r="K40" i="8" s="1"/>
  <c r="H88" i="8"/>
  <c r="L88" i="8" s="1"/>
  <c r="H48" i="8"/>
  <c r="L48" i="8" s="1"/>
  <c r="H18" i="8"/>
  <c r="L18" i="8" s="1"/>
  <c r="H67" i="8"/>
  <c r="L67" i="8" s="1"/>
  <c r="H27" i="8"/>
  <c r="L27" i="8" s="1"/>
  <c r="H4" i="8"/>
  <c r="L4" i="8" s="1"/>
  <c r="G83" i="8"/>
  <c r="K83" i="8" s="1"/>
  <c r="G53" i="8"/>
  <c r="K53" i="8" s="1"/>
  <c r="G33" i="8"/>
  <c r="K33" i="8" s="1"/>
  <c r="G23" i="8"/>
  <c r="K23" i="8" s="1"/>
  <c r="G13" i="8"/>
  <c r="K13" i="8" s="1"/>
  <c r="G18" i="8"/>
  <c r="K18" i="8" s="1"/>
  <c r="H82" i="8"/>
  <c r="L82" i="8" s="1"/>
  <c r="H52" i="8"/>
  <c r="L52" i="8" s="1"/>
  <c r="H32" i="8"/>
  <c r="L32" i="8" s="1"/>
  <c r="H22" i="8"/>
  <c r="L22" i="8" s="1"/>
  <c r="H12" i="8"/>
  <c r="L12" i="8" s="1"/>
  <c r="G93" i="8"/>
  <c r="K93" i="8" s="1"/>
  <c r="G63" i="8"/>
  <c r="K63" i="8" s="1"/>
  <c r="G82" i="8"/>
  <c r="K82" i="8" s="1"/>
  <c r="G12" i="8"/>
  <c r="K12" i="8" s="1"/>
  <c r="H81" i="8"/>
  <c r="L81" i="8" s="1"/>
  <c r="H11" i="8"/>
  <c r="L11" i="8" s="1"/>
  <c r="G73" i="8"/>
  <c r="K73" i="8" s="1"/>
  <c r="G43" i="8"/>
  <c r="K43" i="8" s="1"/>
  <c r="G99" i="8"/>
  <c r="K99" i="8" s="1"/>
  <c r="G89" i="8"/>
  <c r="K89" i="8" s="1"/>
  <c r="G72" i="8"/>
  <c r="K72" i="8" s="1"/>
  <c r="G62" i="8"/>
  <c r="K62" i="8" s="1"/>
  <c r="G52" i="8"/>
  <c r="K52" i="8" s="1"/>
  <c r="G42" i="8"/>
  <c r="K42" i="8" s="1"/>
  <c r="G29" i="8"/>
  <c r="K29" i="8" s="1"/>
  <c r="G22" i="8"/>
  <c r="K22" i="8" s="1"/>
  <c r="G101" i="8"/>
  <c r="K101" i="8" s="1"/>
  <c r="G91" i="8"/>
  <c r="K91" i="8" s="1"/>
  <c r="G81" i="8"/>
  <c r="K81" i="8" s="1"/>
  <c r="G71" i="8"/>
  <c r="K71" i="8" s="1"/>
  <c r="G58" i="8"/>
  <c r="K58" i="8" s="1"/>
  <c r="G51" i="8"/>
  <c r="K51" i="8" s="1"/>
  <c r="G41" i="8"/>
  <c r="K41" i="8" s="1"/>
  <c r="G31" i="8"/>
  <c r="K31" i="8" s="1"/>
  <c r="G21" i="8"/>
  <c r="K21" i="8" s="1"/>
  <c r="G11" i="8"/>
  <c r="K11" i="8" s="1"/>
  <c r="H100" i="8"/>
  <c r="L100" i="8" s="1"/>
  <c r="H90" i="8"/>
  <c r="L90" i="8" s="1"/>
  <c r="H80" i="8"/>
  <c r="L80" i="8" s="1"/>
  <c r="H70" i="8"/>
  <c r="L70" i="8" s="1"/>
  <c r="H60" i="8"/>
  <c r="L60" i="8" s="1"/>
  <c r="H50" i="8"/>
  <c r="L50" i="8" s="1"/>
  <c r="H40" i="8"/>
  <c r="L40" i="8" s="1"/>
  <c r="H30" i="8"/>
  <c r="L30" i="8" s="1"/>
  <c r="H20" i="8"/>
  <c r="L20" i="8" s="1"/>
  <c r="H10" i="8"/>
  <c r="L10" i="8" s="1"/>
  <c r="H8" i="8"/>
  <c r="L8" i="8" s="1"/>
  <c r="H7" i="8"/>
  <c r="L7" i="8" s="1"/>
  <c r="H39" i="8"/>
  <c r="L39" i="8" s="1"/>
  <c r="H6" i="8"/>
  <c r="L6" i="8" s="1"/>
  <c r="G30" i="8"/>
  <c r="K30" i="8" s="1"/>
  <c r="H49" i="8"/>
  <c r="L49" i="8" s="1"/>
  <c r="G76" i="8"/>
  <c r="K76" i="8" s="1"/>
  <c r="G20" i="8"/>
  <c r="K20" i="8" s="1"/>
  <c r="H99" i="8"/>
  <c r="L99" i="8" s="1"/>
  <c r="H79" i="8"/>
  <c r="L79" i="8" s="1"/>
  <c r="H59" i="8"/>
  <c r="L59" i="8" s="1"/>
  <c r="H29" i="8"/>
  <c r="L29" i="8" s="1"/>
  <c r="G96" i="8"/>
  <c r="K96" i="8" s="1"/>
  <c r="G66" i="8"/>
  <c r="K66" i="8" s="1"/>
  <c r="G36" i="8"/>
  <c r="K36" i="8" s="1"/>
  <c r="G16" i="8"/>
  <c r="K16" i="8" s="1"/>
  <c r="H95" i="8"/>
  <c r="L95" i="8" s="1"/>
  <c r="H75" i="8"/>
  <c r="L75" i="8" s="1"/>
  <c r="H65" i="8"/>
  <c r="L65" i="8" s="1"/>
  <c r="H35" i="8"/>
  <c r="L35" i="8" s="1"/>
  <c r="H15" i="8"/>
  <c r="L15" i="8" s="1"/>
  <c r="G95" i="8"/>
  <c r="K95" i="8" s="1"/>
  <c r="G85" i="8"/>
  <c r="K85" i="8" s="1"/>
  <c r="G75" i="8"/>
  <c r="K75" i="8" s="1"/>
  <c r="G65" i="8"/>
  <c r="K65" i="8" s="1"/>
  <c r="G55" i="8"/>
  <c r="K55" i="8" s="1"/>
  <c r="G45" i="8"/>
  <c r="K45" i="8" s="1"/>
  <c r="G35" i="8"/>
  <c r="K35" i="8" s="1"/>
  <c r="G25" i="8"/>
  <c r="K25" i="8" s="1"/>
  <c r="G15" i="8"/>
  <c r="K15" i="8" s="1"/>
  <c r="H94" i="8"/>
  <c r="L94" i="8" s="1"/>
  <c r="H84" i="8"/>
  <c r="L84" i="8" s="1"/>
  <c r="H74" i="8"/>
  <c r="L74" i="8" s="1"/>
  <c r="H64" i="8"/>
  <c r="L64" i="8" s="1"/>
  <c r="H54" i="8"/>
  <c r="L54" i="8" s="1"/>
  <c r="H44" i="8"/>
  <c r="L44" i="8" s="1"/>
  <c r="H34" i="8"/>
  <c r="L34" i="8" s="1"/>
  <c r="H24" i="8"/>
  <c r="L24" i="8" s="1"/>
  <c r="H14" i="8"/>
  <c r="L14" i="8" s="1"/>
  <c r="G10" i="8"/>
  <c r="K10" i="8" s="1"/>
  <c r="H89" i="8"/>
  <c r="L89" i="8" s="1"/>
  <c r="H69" i="8"/>
  <c r="L69" i="8" s="1"/>
  <c r="H19" i="8"/>
  <c r="L19" i="8" s="1"/>
  <c r="H66" i="8"/>
  <c r="L66" i="8" s="1"/>
  <c r="G86" i="8"/>
  <c r="K86" i="8" s="1"/>
  <c r="G56" i="8"/>
  <c r="K56" i="8" s="1"/>
  <c r="G46" i="8"/>
  <c r="K46" i="8" s="1"/>
  <c r="G26" i="8"/>
  <c r="K26" i="8" s="1"/>
  <c r="G94" i="8"/>
  <c r="K94" i="8" s="1"/>
  <c r="G84" i="8"/>
  <c r="K84" i="8" s="1"/>
  <c r="G74" i="8"/>
  <c r="K74" i="8" s="1"/>
  <c r="G64" i="8"/>
  <c r="K64" i="8" s="1"/>
  <c r="G54" i="8"/>
  <c r="K54" i="8" s="1"/>
  <c r="G44" i="8"/>
  <c r="K44" i="8" s="1"/>
  <c r="G34" i="8"/>
  <c r="K34" i="8" s="1"/>
  <c r="G24" i="8"/>
  <c r="K24" i="8" s="1"/>
  <c r="G14" i="8"/>
  <c r="K14" i="8" s="1"/>
  <c r="H93" i="8"/>
  <c r="L93" i="8" s="1"/>
  <c r="H83" i="8"/>
  <c r="L83" i="8" s="1"/>
  <c r="H73" i="8"/>
  <c r="L73" i="8" s="1"/>
  <c r="H63" i="8"/>
  <c r="L63" i="8" s="1"/>
  <c r="H53" i="8"/>
  <c r="L53" i="8" s="1"/>
  <c r="H43" i="8"/>
  <c r="L43" i="8" s="1"/>
  <c r="H33" i="8"/>
  <c r="L33" i="8" s="1"/>
  <c r="H23" i="8"/>
  <c r="L23" i="8" s="1"/>
  <c r="H13" i="8"/>
  <c r="L13" i="8" s="1"/>
  <c r="G59" i="8"/>
  <c r="K59" i="8" s="1"/>
  <c r="G98" i="8"/>
  <c r="K98" i="8" s="1"/>
  <c r="G68" i="8"/>
  <c r="K68" i="8" s="1"/>
  <c r="G57" i="8"/>
  <c r="K57" i="8" s="1"/>
  <c r="G49" i="8"/>
  <c r="K49" i="8" s="1"/>
  <c r="G38" i="8"/>
  <c r="K38" i="8" s="1"/>
  <c r="G17" i="8"/>
  <c r="K17" i="8" s="1"/>
  <c r="G39" i="8"/>
  <c r="K39" i="8" s="1"/>
  <c r="G28" i="8"/>
  <c r="K28" i="8" s="1"/>
  <c r="G27" i="8"/>
  <c r="K27" i="8" s="1"/>
  <c r="G79" i="8"/>
  <c r="K79" i="8" s="1"/>
  <c r="G19" i="8"/>
  <c r="K19" i="8" s="1"/>
  <c r="G88" i="8"/>
  <c r="K88" i="8" s="1"/>
  <c r="G37" i="8"/>
  <c r="K37" i="8" s="1"/>
  <c r="G69" i="8"/>
  <c r="K69" i="8" s="1"/>
  <c r="G78" i="8"/>
  <c r="K78" i="8" s="1"/>
  <c r="G47" i="8"/>
  <c r="K47" i="8" s="1"/>
  <c r="G92" i="8"/>
  <c r="K92" i="8" s="1"/>
  <c r="G32" i="8"/>
  <c r="K32" i="8" s="1"/>
  <c r="G48" i="8"/>
  <c r="K48" i="8" s="1"/>
  <c r="G87" i="8"/>
  <c r="K87" i="8" s="1"/>
  <c r="G61" i="8"/>
  <c r="K61" i="8" s="1"/>
  <c r="G97" i="8"/>
  <c r="K97" i="8" s="1"/>
  <c r="G77" i="8"/>
  <c r="K77" i="8" s="1"/>
  <c r="G4" i="8"/>
  <c r="K4" i="8" s="1"/>
  <c r="G7" i="8"/>
  <c r="K7" i="8" s="1"/>
  <c r="G8" i="8"/>
  <c r="K8" i="8" s="1"/>
  <c r="G9" i="8"/>
  <c r="K9" i="8" s="1"/>
  <c r="G6" i="8"/>
  <c r="K6" i="8" s="1"/>
  <c r="G5" i="8"/>
  <c r="K5" i="8" s="1"/>
  <c r="H2" i="8"/>
  <c r="L2" i="8" s="1"/>
  <c r="G3" i="8"/>
  <c r="K3" i="8" s="1"/>
  <c r="O6" i="8" l="1"/>
  <c r="O5" i="8"/>
  <c r="O4" i="8"/>
  <c r="O3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<sst xmlns="http://schemas.openxmlformats.org/spreadsheetml/2006/main" count="420" uniqueCount="130">
  <si>
    <t>Enrollment_ids</t>
  </si>
  <si>
    <t>Course_name</t>
  </si>
  <si>
    <t>enrollment_year</t>
  </si>
  <si>
    <t>Final_grade</t>
  </si>
  <si>
    <t>Hours_studied</t>
  </si>
  <si>
    <t>Completion_status</t>
  </si>
  <si>
    <t>ENR-1857</t>
  </si>
  <si>
    <t>SQL Basics</t>
  </si>
  <si>
    <t>D</t>
  </si>
  <si>
    <t>In Progress</t>
  </si>
  <si>
    <t>ENR-5385</t>
  </si>
  <si>
    <t>Statistics 101</t>
  </si>
  <si>
    <t>A</t>
  </si>
  <si>
    <t>ENR-2428</t>
  </si>
  <si>
    <t>B</t>
  </si>
  <si>
    <t>Completed</t>
  </si>
  <si>
    <t>ENR-7672</t>
  </si>
  <si>
    <t>Python for Beginners</t>
  </si>
  <si>
    <t>ENR-5367</t>
  </si>
  <si>
    <t>Tableau Fundamentals</t>
  </si>
  <si>
    <t>ENR-2764</t>
  </si>
  <si>
    <t>ENR-1625</t>
  </si>
  <si>
    <t>ENR-7211</t>
  </si>
  <si>
    <t>ENR-9785</t>
  </si>
  <si>
    <t>F</t>
  </si>
  <si>
    <t>ENR-6442</t>
  </si>
  <si>
    <t>Intro to Analytics</t>
  </si>
  <si>
    <t>ENR-6583</t>
  </si>
  <si>
    <t>ENR-1850</t>
  </si>
  <si>
    <t>ENR-3615</t>
  </si>
  <si>
    <t>ENR-3212</t>
  </si>
  <si>
    <t>Dropped</t>
  </si>
  <si>
    <t>ENR-6524</t>
  </si>
  <si>
    <t>ENR-6468</t>
  </si>
  <si>
    <t>ENR-5016</t>
  </si>
  <si>
    <t>ENR-3683</t>
  </si>
  <si>
    <t>ENR-1027</t>
  </si>
  <si>
    <t>ENR-8147</t>
  </si>
  <si>
    <t>ENR-2435</t>
  </si>
  <si>
    <t>ENR-7186</t>
  </si>
  <si>
    <t>ENR-2144</t>
  </si>
  <si>
    <t>ENR-1108</t>
  </si>
  <si>
    <t>ENR-6168</t>
  </si>
  <si>
    <t>ENR-8345</t>
  </si>
  <si>
    <t>ENR-2671</t>
  </si>
  <si>
    <t>ENR-1719</t>
  </si>
  <si>
    <t>C</t>
  </si>
  <si>
    <t>ENR-2519</t>
  </si>
  <si>
    <t>ENR-3329</t>
  </si>
  <si>
    <t>ENR-3068</t>
  </si>
  <si>
    <t>ENR-1347</t>
  </si>
  <si>
    <t>ENR-5780</t>
  </si>
  <si>
    <t>ENR-8055</t>
  </si>
  <si>
    <t>ENR-8813</t>
  </si>
  <si>
    <t>ENR-5347</t>
  </si>
  <si>
    <t>ENR-8688</t>
  </si>
  <si>
    <t>ENR-1602</t>
  </si>
  <si>
    <t>ENR-5998</t>
  </si>
  <si>
    <t>ENR-6627</t>
  </si>
  <si>
    <t>ENR-9547</t>
  </si>
  <si>
    <t>ENR-8912</t>
  </si>
  <si>
    <t>ENR-4389</t>
  </si>
  <si>
    <t>ENR-9635</t>
  </si>
  <si>
    <t>ENR-6165</t>
  </si>
  <si>
    <t>ENR-1205</t>
  </si>
  <si>
    <t>ENR-7524</t>
  </si>
  <si>
    <t>ENR-9400</t>
  </si>
  <si>
    <t>ENR-8116</t>
  </si>
  <si>
    <t>ENR-9823</t>
  </si>
  <si>
    <t>ENR-8964</t>
  </si>
  <si>
    <t>ENR-9529</t>
  </si>
  <si>
    <t>ENR-7873</t>
  </si>
  <si>
    <t>ENR-7136</t>
  </si>
  <si>
    <t>ENR-9356</t>
  </si>
  <si>
    <t>ENR-1521</t>
  </si>
  <si>
    <t>ENR-3973</t>
  </si>
  <si>
    <t>ENR-2353</t>
  </si>
  <si>
    <t>ENR-8977</t>
  </si>
  <si>
    <t>ENR-5290</t>
  </si>
  <si>
    <t>ENR-3787</t>
  </si>
  <si>
    <t>ENR-6487</t>
  </si>
  <si>
    <t>ENR-6520</t>
  </si>
  <si>
    <t>ENR-7409</t>
  </si>
  <si>
    <t>ENR-2200</t>
  </si>
  <si>
    <t>ENR-8483</t>
  </si>
  <si>
    <t>ENR-7351</t>
  </si>
  <si>
    <t>ENR-6506</t>
  </si>
  <si>
    <t>ENR-1267</t>
  </si>
  <si>
    <t>ENR-4097</t>
  </si>
  <si>
    <t>ENR-2444</t>
  </si>
  <si>
    <t>ENR-6955</t>
  </si>
  <si>
    <t>ENR-1210</t>
  </si>
  <si>
    <t>ENR-6765</t>
  </si>
  <si>
    <t>ENR-4754</t>
  </si>
  <si>
    <t>ENR-7647</t>
  </si>
  <si>
    <t>ENR-9716</t>
  </si>
  <si>
    <t>ENR-9208</t>
  </si>
  <si>
    <t>ENR-1978</t>
  </si>
  <si>
    <t>ENR-5713</t>
  </si>
  <si>
    <t>ENR-9106</t>
  </si>
  <si>
    <t>ENR-4823</t>
  </si>
  <si>
    <t>ENR-9915</t>
  </si>
  <si>
    <t>ENR-8926</t>
  </si>
  <si>
    <t>ENR-3909</t>
  </si>
  <si>
    <t>ENR-3519</t>
  </si>
  <si>
    <t>ENR-9788</t>
  </si>
  <si>
    <t>ENR-8282</t>
  </si>
  <si>
    <t>ENR-7202</t>
  </si>
  <si>
    <t>ENR-8557</t>
  </si>
  <si>
    <t>ENR-1723</t>
  </si>
  <si>
    <t>ENR-1166</t>
  </si>
  <si>
    <t>ENR-3207</t>
  </si>
  <si>
    <t>ENR-8476</t>
  </si>
  <si>
    <t>ENR-4165</t>
  </si>
  <si>
    <t>ENR-1344</t>
  </si>
  <si>
    <t>ENR-5200</t>
  </si>
  <si>
    <t>ENR-6767</t>
  </si>
  <si>
    <t>ENR-5455</t>
  </si>
  <si>
    <t>ENR-8115</t>
  </si>
  <si>
    <t>Sample mean</t>
  </si>
  <si>
    <t>Sample median</t>
  </si>
  <si>
    <t>Sample size</t>
  </si>
  <si>
    <t>bootstrap_sample</t>
  </si>
  <si>
    <t>boot_mean</t>
  </si>
  <si>
    <t>boot_median</t>
  </si>
  <si>
    <t>iteraiton</t>
  </si>
  <si>
    <t>Mean CI lower(2.5%)</t>
  </si>
  <si>
    <t>Mean CI upper(97.5%)</t>
  </si>
  <si>
    <t>Median CI lower(2.5%)</t>
  </si>
  <si>
    <t>Median CI upper(97.5%)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</si>
</sst>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Bootstrap Distribution: Mean Hours Studied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effectLst/>
              <a:latin typeface="Aptos Narrow" panose="02110004020202020204"/>
              <a:ea typeface="Calibri" panose="020F0502020204030204" pitchFamily="34" charset="0"/>
              <a:cs typeface="Calibri" panose="020F0502020204030204" pitchFamily="34" charset="0"/>
            </a:rPr>
            <a:t>Bootstrap Distribution: Mean Hours Studied</a:t>
          </a:r>
        </a:p>
      </cx:txPr>
    </cx:title>
    <cx:plotArea>
      <cx:plotAreaRegion>
        <cx:series layoutId="clusteredColumn" uniqueId="{00000000-100A-044B-9360-347EBB772B21}">
          <cx:tx>
            <cx:txData>
              <cx:f>_xlchart.v1.0</cx:f>
              <cx:v>boot_mean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Bootstrap Mean</a:t>
                </a:r>
              </a:p>
              <a:p>
                <a:pPr algn="ctr" rtl="0">
                  <a:defRPr/>
                </a:pP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Bootstrap Distribution: Median Hours Studied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00000000-AB9C-D24E-8BDF-5ADB147A4335}">
          <cx:tx>
            <cx:txData>
              <cx:f>_xlchart.v1.10</cx:f>
              <cx:v>boot_median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title>
          <cx:tx>
            <cx:txData>
              <cx:v>Bootstrap Median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Bootstrap Median</a:t>
              </a:r>
            </a:p>
          </cx:txPr>
          <cx:extLst>
            <cx:ext uri="ext:featex">
              <cx:featureExtension feature="mp" drop="onModelChange">
                <cx:offset top="0.02777777798473835" left="0.013889982365071774"/>
              </cx:featureExtension>
            </cx:ext>
          </cx:extLst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527050</xdr:colOff>
      <xdr:row>7</xdr:row>
      <xdr:rowOff>63500</xdr:rowOff>
    </xdr:from>
    <xdr:to>
      <xdr:col>18</xdr:col>
      <xdr:colOff>241300</xdr:colOff>
      <xdr:row>20</xdr:row>
      <xdr:rowOff>165100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B167B72-290A-674E-F528-9693BD2C3C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34750" y="1485900"/>
              <a:ext cx="59372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527050</xdr:colOff>
      <xdr:row>21</xdr:row>
      <xdr:rowOff>63500</xdr:rowOff>
    </xdr:from>
    <xdr:to>
      <xdr:col>18</xdr:col>
      <xdr:colOff>50800</xdr:colOff>
      <xdr:row>34</xdr:row>
      <xdr:rowOff>165100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93C0D39D-563D-A973-1122-F5AEE9C207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34750" y="4330700"/>
              <a:ext cx="57467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2A01B-319A-2146-9114-9452F7DCB581}">
  <dimension ref="A1:F101"/>
  <sheetViews>
    <sheetView workbookViewId="0">
      <selection activeCell="E1" sqref="E1:E1048576"/>
    </sheetView>
  </sheetViews>
  <sheetFormatPr baseColWidth="10" defaultRowHeight="16" x14ac:dyDescent="0.2"/>
  <cols>
    <col min="1" max="1" width="13.6640625" customWidth="1"/>
    <col min="2" max="2" width="13.33203125" customWidth="1"/>
    <col min="3" max="3" width="15.1640625" customWidth="1"/>
    <col min="4" max="4" width="15.83203125" customWidth="1"/>
    <col min="5" max="5" width="15.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v>2023</v>
      </c>
      <c r="D2" t="s">
        <v>8</v>
      </c>
      <c r="E2">
        <v>18.2</v>
      </c>
      <c r="F2" t="s">
        <v>9</v>
      </c>
    </row>
    <row r="3" spans="1:6" x14ac:dyDescent="0.2">
      <c r="A3" t="s">
        <v>10</v>
      </c>
      <c r="B3" t="s">
        <v>11</v>
      </c>
      <c r="C3">
        <v>2024</v>
      </c>
      <c r="D3" t="s">
        <v>12</v>
      </c>
      <c r="E3">
        <v>42</v>
      </c>
      <c r="F3" t="s">
        <v>9</v>
      </c>
    </row>
    <row r="4" spans="1:6" x14ac:dyDescent="0.2">
      <c r="A4" t="s">
        <v>13</v>
      </c>
      <c r="B4" t="s">
        <v>7</v>
      </c>
      <c r="C4">
        <v>2024</v>
      </c>
      <c r="D4" t="s">
        <v>14</v>
      </c>
      <c r="E4">
        <v>26.81</v>
      </c>
      <c r="F4" t="s">
        <v>15</v>
      </c>
    </row>
    <row r="5" spans="1:6" x14ac:dyDescent="0.2">
      <c r="A5" t="s">
        <v>16</v>
      </c>
      <c r="B5" t="s">
        <v>17</v>
      </c>
      <c r="C5">
        <v>2024</v>
      </c>
      <c r="D5" t="s">
        <v>14</v>
      </c>
      <c r="E5">
        <v>28.51</v>
      </c>
      <c r="F5" t="s">
        <v>9</v>
      </c>
    </row>
    <row r="6" spans="1:6" x14ac:dyDescent="0.2">
      <c r="A6" t="s">
        <v>18</v>
      </c>
      <c r="B6" t="s">
        <v>19</v>
      </c>
      <c r="C6">
        <v>2022</v>
      </c>
      <c r="D6" t="s">
        <v>12</v>
      </c>
      <c r="E6">
        <v>22.66</v>
      </c>
      <c r="F6" t="s">
        <v>9</v>
      </c>
    </row>
    <row r="7" spans="1:6" x14ac:dyDescent="0.2">
      <c r="A7" t="s">
        <v>20</v>
      </c>
      <c r="B7" t="s">
        <v>7</v>
      </c>
      <c r="C7">
        <v>2022</v>
      </c>
      <c r="D7" t="s">
        <v>8</v>
      </c>
      <c r="E7">
        <v>32.81</v>
      </c>
      <c r="F7" t="s">
        <v>9</v>
      </c>
    </row>
    <row r="8" spans="1:6" x14ac:dyDescent="0.2">
      <c r="A8" t="s">
        <v>21</v>
      </c>
      <c r="B8" t="s">
        <v>19</v>
      </c>
      <c r="C8">
        <v>2023</v>
      </c>
      <c r="D8" t="s">
        <v>14</v>
      </c>
      <c r="E8">
        <v>22.04</v>
      </c>
      <c r="F8" t="s">
        <v>15</v>
      </c>
    </row>
    <row r="9" spans="1:6" x14ac:dyDescent="0.2">
      <c r="A9" t="s">
        <v>22</v>
      </c>
      <c r="B9" t="s">
        <v>17</v>
      </c>
      <c r="C9">
        <v>2025</v>
      </c>
      <c r="D9" t="s">
        <v>8</v>
      </c>
      <c r="E9">
        <v>34.26</v>
      </c>
      <c r="F9" t="s">
        <v>15</v>
      </c>
    </row>
    <row r="10" spans="1:6" x14ac:dyDescent="0.2">
      <c r="A10" t="s">
        <v>23</v>
      </c>
      <c r="B10" t="s">
        <v>17</v>
      </c>
      <c r="C10">
        <v>2025</v>
      </c>
      <c r="D10" t="s">
        <v>24</v>
      </c>
      <c r="E10">
        <v>30.92</v>
      </c>
      <c r="F10" t="s">
        <v>9</v>
      </c>
    </row>
    <row r="11" spans="1:6" x14ac:dyDescent="0.2">
      <c r="A11" t="s">
        <v>25</v>
      </c>
      <c r="B11" t="s">
        <v>26</v>
      </c>
      <c r="C11">
        <v>2025</v>
      </c>
      <c r="D11" t="s">
        <v>24</v>
      </c>
      <c r="E11">
        <v>34.479999999999997</v>
      </c>
      <c r="F11" t="s">
        <v>9</v>
      </c>
    </row>
    <row r="12" spans="1:6" x14ac:dyDescent="0.2">
      <c r="A12" t="s">
        <v>27</v>
      </c>
      <c r="B12" t="s">
        <v>17</v>
      </c>
      <c r="C12">
        <v>2023</v>
      </c>
      <c r="D12" t="s">
        <v>14</v>
      </c>
      <c r="E12">
        <v>34.97</v>
      </c>
      <c r="F12" t="s">
        <v>9</v>
      </c>
    </row>
    <row r="13" spans="1:6" x14ac:dyDescent="0.2">
      <c r="A13" t="s">
        <v>28</v>
      </c>
      <c r="B13" t="s">
        <v>17</v>
      </c>
      <c r="C13">
        <v>2025</v>
      </c>
      <c r="D13" t="s">
        <v>24</v>
      </c>
      <c r="E13">
        <v>35.75</v>
      </c>
      <c r="F13" t="s">
        <v>9</v>
      </c>
    </row>
    <row r="14" spans="1:6" x14ac:dyDescent="0.2">
      <c r="A14" t="s">
        <v>29</v>
      </c>
      <c r="B14" t="s">
        <v>26</v>
      </c>
      <c r="C14">
        <v>2023</v>
      </c>
      <c r="D14" t="s">
        <v>24</v>
      </c>
      <c r="E14">
        <v>29.3</v>
      </c>
      <c r="F14" t="s">
        <v>15</v>
      </c>
    </row>
    <row r="15" spans="1:6" x14ac:dyDescent="0.2">
      <c r="A15" t="s">
        <v>30</v>
      </c>
      <c r="B15" t="s">
        <v>26</v>
      </c>
      <c r="C15">
        <v>2024</v>
      </c>
      <c r="D15" t="s">
        <v>8</v>
      </c>
      <c r="E15">
        <v>27.38</v>
      </c>
      <c r="F15" t="s">
        <v>31</v>
      </c>
    </row>
    <row r="16" spans="1:6" x14ac:dyDescent="0.2">
      <c r="A16" t="s">
        <v>32</v>
      </c>
      <c r="B16" t="s">
        <v>17</v>
      </c>
      <c r="C16">
        <v>2026</v>
      </c>
      <c r="D16" t="s">
        <v>24</v>
      </c>
      <c r="E16">
        <v>24.67</v>
      </c>
      <c r="F16" t="s">
        <v>15</v>
      </c>
    </row>
    <row r="17" spans="1:6" x14ac:dyDescent="0.2">
      <c r="A17" t="s">
        <v>33</v>
      </c>
      <c r="B17" t="s">
        <v>19</v>
      </c>
      <c r="C17">
        <v>2023</v>
      </c>
      <c r="D17" t="s">
        <v>8</v>
      </c>
      <c r="E17">
        <v>30.93</v>
      </c>
      <c r="F17" t="s">
        <v>15</v>
      </c>
    </row>
    <row r="18" spans="1:6" x14ac:dyDescent="0.2">
      <c r="A18" t="s">
        <v>34</v>
      </c>
      <c r="B18" t="s">
        <v>11</v>
      </c>
      <c r="C18">
        <v>2022</v>
      </c>
      <c r="D18" t="s">
        <v>12</v>
      </c>
      <c r="E18">
        <v>21.01</v>
      </c>
      <c r="F18" t="s">
        <v>15</v>
      </c>
    </row>
    <row r="19" spans="1:6" x14ac:dyDescent="0.2">
      <c r="A19" t="s">
        <v>35</v>
      </c>
      <c r="B19" t="s">
        <v>26</v>
      </c>
      <c r="C19">
        <v>2023</v>
      </c>
      <c r="D19" t="s">
        <v>24</v>
      </c>
      <c r="E19">
        <v>33.81</v>
      </c>
      <c r="F19" t="s">
        <v>15</v>
      </c>
    </row>
    <row r="20" spans="1:6" x14ac:dyDescent="0.2">
      <c r="A20" t="s">
        <v>36</v>
      </c>
      <c r="B20" t="s">
        <v>26</v>
      </c>
      <c r="C20">
        <v>2026</v>
      </c>
      <c r="D20" t="s">
        <v>24</v>
      </c>
      <c r="E20">
        <v>30.22</v>
      </c>
      <c r="F20" t="s">
        <v>15</v>
      </c>
    </row>
    <row r="21" spans="1:6" x14ac:dyDescent="0.2">
      <c r="A21" t="s">
        <v>37</v>
      </c>
      <c r="B21" t="s">
        <v>11</v>
      </c>
      <c r="C21">
        <v>2024</v>
      </c>
      <c r="D21" t="s">
        <v>24</v>
      </c>
      <c r="E21">
        <v>31.42</v>
      </c>
      <c r="F21" t="s">
        <v>15</v>
      </c>
    </row>
    <row r="22" spans="1:6" x14ac:dyDescent="0.2">
      <c r="A22" t="s">
        <v>38</v>
      </c>
      <c r="B22" t="s">
        <v>17</v>
      </c>
      <c r="C22">
        <v>2022</v>
      </c>
      <c r="D22" t="s">
        <v>24</v>
      </c>
      <c r="E22">
        <v>23.58</v>
      </c>
      <c r="F22" t="s">
        <v>31</v>
      </c>
    </row>
    <row r="23" spans="1:6" x14ac:dyDescent="0.2">
      <c r="A23" t="s">
        <v>39</v>
      </c>
      <c r="B23" t="s">
        <v>19</v>
      </c>
      <c r="C23">
        <v>2023</v>
      </c>
      <c r="D23" t="s">
        <v>12</v>
      </c>
      <c r="E23">
        <v>38.409999999999997</v>
      </c>
      <c r="F23" t="s">
        <v>9</v>
      </c>
    </row>
    <row r="24" spans="1:6" x14ac:dyDescent="0.2">
      <c r="A24" t="s">
        <v>40</v>
      </c>
      <c r="B24" t="s">
        <v>7</v>
      </c>
      <c r="C24">
        <v>2024</v>
      </c>
      <c r="D24" t="s">
        <v>12</v>
      </c>
      <c r="E24">
        <v>27.01</v>
      </c>
      <c r="F24" t="s">
        <v>15</v>
      </c>
    </row>
    <row r="25" spans="1:6" x14ac:dyDescent="0.2">
      <c r="A25" t="s">
        <v>41</v>
      </c>
      <c r="B25" t="s">
        <v>11</v>
      </c>
      <c r="C25">
        <v>2026</v>
      </c>
      <c r="D25" t="s">
        <v>14</v>
      </c>
      <c r="E25">
        <v>37.409999999999997</v>
      </c>
      <c r="F25" t="s">
        <v>15</v>
      </c>
    </row>
    <row r="26" spans="1:6" x14ac:dyDescent="0.2">
      <c r="A26" t="s">
        <v>42</v>
      </c>
      <c r="B26" t="s">
        <v>7</v>
      </c>
      <c r="C26">
        <v>2026</v>
      </c>
      <c r="D26" t="s">
        <v>12</v>
      </c>
      <c r="E26">
        <v>29.51</v>
      </c>
      <c r="F26" t="s">
        <v>9</v>
      </c>
    </row>
    <row r="27" spans="1:6" x14ac:dyDescent="0.2">
      <c r="A27" t="s">
        <v>43</v>
      </c>
      <c r="B27" t="s">
        <v>11</v>
      </c>
      <c r="C27">
        <v>2026</v>
      </c>
      <c r="D27" t="s">
        <v>12</v>
      </c>
      <c r="E27">
        <v>23.64</v>
      </c>
      <c r="F27" t="s">
        <v>9</v>
      </c>
    </row>
    <row r="28" spans="1:6" x14ac:dyDescent="0.2">
      <c r="A28" t="s">
        <v>44</v>
      </c>
      <c r="B28" t="s">
        <v>26</v>
      </c>
      <c r="C28">
        <v>2025</v>
      </c>
      <c r="D28" t="s">
        <v>24</v>
      </c>
      <c r="E28">
        <v>19.27</v>
      </c>
      <c r="F28" t="s">
        <v>15</v>
      </c>
    </row>
    <row r="29" spans="1:6" x14ac:dyDescent="0.2">
      <c r="A29" t="s">
        <v>45</v>
      </c>
      <c r="B29" t="s">
        <v>26</v>
      </c>
      <c r="C29">
        <v>2025</v>
      </c>
      <c r="D29" t="s">
        <v>46</v>
      </c>
      <c r="E29">
        <v>38.22</v>
      </c>
      <c r="F29" t="s">
        <v>15</v>
      </c>
    </row>
    <row r="30" spans="1:6" x14ac:dyDescent="0.2">
      <c r="A30" t="s">
        <v>47</v>
      </c>
      <c r="B30" t="s">
        <v>17</v>
      </c>
      <c r="C30">
        <v>2023</v>
      </c>
      <c r="D30" t="s">
        <v>46</v>
      </c>
      <c r="E30">
        <v>25.91</v>
      </c>
      <c r="F30" t="s">
        <v>15</v>
      </c>
    </row>
    <row r="31" spans="1:6" x14ac:dyDescent="0.2">
      <c r="A31" t="s">
        <v>48</v>
      </c>
      <c r="B31" t="s">
        <v>19</v>
      </c>
      <c r="C31">
        <v>2026</v>
      </c>
      <c r="D31" t="s">
        <v>12</v>
      </c>
      <c r="E31">
        <v>22.18</v>
      </c>
      <c r="F31" t="s">
        <v>15</v>
      </c>
    </row>
    <row r="32" spans="1:6" x14ac:dyDescent="0.2">
      <c r="A32" t="s">
        <v>49</v>
      </c>
      <c r="B32" t="s">
        <v>11</v>
      </c>
      <c r="C32">
        <v>2022</v>
      </c>
      <c r="D32" t="s">
        <v>14</v>
      </c>
      <c r="E32">
        <v>32.24</v>
      </c>
      <c r="F32" t="s">
        <v>15</v>
      </c>
    </row>
    <row r="33" spans="1:6" x14ac:dyDescent="0.2">
      <c r="A33" t="s">
        <v>50</v>
      </c>
      <c r="B33" t="s">
        <v>11</v>
      </c>
      <c r="C33">
        <v>2026</v>
      </c>
      <c r="D33" t="s">
        <v>12</v>
      </c>
      <c r="E33">
        <v>34.99</v>
      </c>
      <c r="F33" t="s">
        <v>15</v>
      </c>
    </row>
    <row r="34" spans="1:6" x14ac:dyDescent="0.2">
      <c r="A34" t="s">
        <v>51</v>
      </c>
      <c r="B34" t="s">
        <v>11</v>
      </c>
      <c r="C34">
        <v>2022</v>
      </c>
      <c r="D34" t="s">
        <v>46</v>
      </c>
      <c r="E34">
        <v>29.84</v>
      </c>
      <c r="F34" t="s">
        <v>15</v>
      </c>
    </row>
    <row r="35" spans="1:6" x14ac:dyDescent="0.2">
      <c r="A35" t="s">
        <v>52</v>
      </c>
      <c r="B35" t="s">
        <v>17</v>
      </c>
      <c r="C35">
        <v>2022</v>
      </c>
      <c r="D35" t="s">
        <v>24</v>
      </c>
      <c r="E35">
        <v>33.090000000000003</v>
      </c>
      <c r="F35" t="s">
        <v>9</v>
      </c>
    </row>
    <row r="36" spans="1:6" x14ac:dyDescent="0.2">
      <c r="A36" t="s">
        <v>53</v>
      </c>
      <c r="B36" t="s">
        <v>19</v>
      </c>
      <c r="C36">
        <v>2022</v>
      </c>
      <c r="D36" t="s">
        <v>24</v>
      </c>
      <c r="E36">
        <v>31.28</v>
      </c>
      <c r="F36" t="s">
        <v>15</v>
      </c>
    </row>
    <row r="37" spans="1:6" x14ac:dyDescent="0.2">
      <c r="A37" t="s">
        <v>54</v>
      </c>
      <c r="B37" t="s">
        <v>7</v>
      </c>
      <c r="C37">
        <v>2023</v>
      </c>
      <c r="D37" t="s">
        <v>14</v>
      </c>
      <c r="E37">
        <v>31.66</v>
      </c>
      <c r="F37" t="s">
        <v>15</v>
      </c>
    </row>
    <row r="38" spans="1:6" x14ac:dyDescent="0.2">
      <c r="A38" t="s">
        <v>55</v>
      </c>
      <c r="B38" t="s">
        <v>17</v>
      </c>
      <c r="C38">
        <v>2022</v>
      </c>
      <c r="D38" t="s">
        <v>46</v>
      </c>
      <c r="E38">
        <v>34.42</v>
      </c>
      <c r="F38" t="s">
        <v>15</v>
      </c>
    </row>
    <row r="39" spans="1:6" x14ac:dyDescent="0.2">
      <c r="A39" t="s">
        <v>56</v>
      </c>
      <c r="B39" t="s">
        <v>11</v>
      </c>
      <c r="C39">
        <v>2026</v>
      </c>
      <c r="D39" t="s">
        <v>8</v>
      </c>
      <c r="E39">
        <v>26.05</v>
      </c>
      <c r="F39" t="s">
        <v>9</v>
      </c>
    </row>
    <row r="40" spans="1:6" x14ac:dyDescent="0.2">
      <c r="A40" t="s">
        <v>57</v>
      </c>
      <c r="B40" t="s">
        <v>26</v>
      </c>
      <c r="C40">
        <v>2025</v>
      </c>
      <c r="D40" t="s">
        <v>14</v>
      </c>
      <c r="E40">
        <v>27.57</v>
      </c>
      <c r="F40" t="s">
        <v>9</v>
      </c>
    </row>
    <row r="41" spans="1:6" x14ac:dyDescent="0.2">
      <c r="A41" t="s">
        <v>58</v>
      </c>
      <c r="B41" t="s">
        <v>19</v>
      </c>
      <c r="C41">
        <v>2024</v>
      </c>
      <c r="D41" t="s">
        <v>24</v>
      </c>
      <c r="E41">
        <v>35.33</v>
      </c>
      <c r="F41" t="s">
        <v>15</v>
      </c>
    </row>
    <row r="42" spans="1:6" x14ac:dyDescent="0.2">
      <c r="A42" t="s">
        <v>59</v>
      </c>
      <c r="B42" t="s">
        <v>7</v>
      </c>
      <c r="C42">
        <v>2026</v>
      </c>
      <c r="D42" t="s">
        <v>8</v>
      </c>
      <c r="E42">
        <v>28.12</v>
      </c>
      <c r="F42" t="s">
        <v>9</v>
      </c>
    </row>
    <row r="43" spans="1:6" x14ac:dyDescent="0.2">
      <c r="A43" t="s">
        <v>60</v>
      </c>
      <c r="B43" t="s">
        <v>26</v>
      </c>
      <c r="C43">
        <v>2022</v>
      </c>
      <c r="D43" t="s">
        <v>14</v>
      </c>
      <c r="E43">
        <v>39.29</v>
      </c>
      <c r="F43" t="s">
        <v>15</v>
      </c>
    </row>
    <row r="44" spans="1:6" x14ac:dyDescent="0.2">
      <c r="A44" t="s">
        <v>61</v>
      </c>
      <c r="B44" t="s">
        <v>19</v>
      </c>
      <c r="C44">
        <v>2023</v>
      </c>
      <c r="D44" t="s">
        <v>14</v>
      </c>
      <c r="E44">
        <v>27.02</v>
      </c>
      <c r="F44" t="s">
        <v>31</v>
      </c>
    </row>
    <row r="45" spans="1:6" x14ac:dyDescent="0.2">
      <c r="A45" t="s">
        <v>62</v>
      </c>
      <c r="B45" t="s">
        <v>7</v>
      </c>
      <c r="C45">
        <v>2024</v>
      </c>
      <c r="D45" t="s">
        <v>12</v>
      </c>
      <c r="E45">
        <v>30.95</v>
      </c>
      <c r="F45" t="s">
        <v>15</v>
      </c>
    </row>
    <row r="46" spans="1:6" x14ac:dyDescent="0.2">
      <c r="A46" t="s">
        <v>63</v>
      </c>
      <c r="B46" t="s">
        <v>7</v>
      </c>
      <c r="C46">
        <v>2024</v>
      </c>
      <c r="D46" t="s">
        <v>14</v>
      </c>
      <c r="E46">
        <v>30.98</v>
      </c>
      <c r="F46" t="s">
        <v>15</v>
      </c>
    </row>
    <row r="47" spans="1:6" x14ac:dyDescent="0.2">
      <c r="A47" t="s">
        <v>64</v>
      </c>
      <c r="B47" t="s">
        <v>7</v>
      </c>
      <c r="C47">
        <v>2024</v>
      </c>
      <c r="D47" t="s">
        <v>8</v>
      </c>
      <c r="E47">
        <v>28.97</v>
      </c>
      <c r="F47" t="s">
        <v>15</v>
      </c>
    </row>
    <row r="48" spans="1:6" x14ac:dyDescent="0.2">
      <c r="A48" t="s">
        <v>65</v>
      </c>
      <c r="B48" t="s">
        <v>7</v>
      </c>
      <c r="C48">
        <v>2024</v>
      </c>
      <c r="D48" t="s">
        <v>14</v>
      </c>
      <c r="E48">
        <v>31.55</v>
      </c>
      <c r="F48" t="s">
        <v>15</v>
      </c>
    </row>
    <row r="49" spans="1:6" x14ac:dyDescent="0.2">
      <c r="A49" t="s">
        <v>66</v>
      </c>
      <c r="B49" t="s">
        <v>11</v>
      </c>
      <c r="C49">
        <v>2025</v>
      </c>
      <c r="D49" t="s">
        <v>12</v>
      </c>
      <c r="E49">
        <v>21.23</v>
      </c>
      <c r="F49" t="s">
        <v>15</v>
      </c>
    </row>
    <row r="50" spans="1:6" x14ac:dyDescent="0.2">
      <c r="A50" t="s">
        <v>67</v>
      </c>
      <c r="B50" t="s">
        <v>19</v>
      </c>
      <c r="C50">
        <v>2024</v>
      </c>
      <c r="D50" t="s">
        <v>14</v>
      </c>
      <c r="E50">
        <v>30.63</v>
      </c>
      <c r="F50" t="s">
        <v>15</v>
      </c>
    </row>
    <row r="51" spans="1:6" x14ac:dyDescent="0.2">
      <c r="A51" t="s">
        <v>68</v>
      </c>
      <c r="B51" t="s">
        <v>19</v>
      </c>
      <c r="C51">
        <v>2023</v>
      </c>
      <c r="D51" t="s">
        <v>46</v>
      </c>
      <c r="E51">
        <v>26.01</v>
      </c>
      <c r="F51" t="s">
        <v>31</v>
      </c>
    </row>
    <row r="52" spans="1:6" x14ac:dyDescent="0.2">
      <c r="A52" t="s">
        <v>69</v>
      </c>
      <c r="B52" t="s">
        <v>11</v>
      </c>
      <c r="C52">
        <v>2022</v>
      </c>
      <c r="D52" t="s">
        <v>46</v>
      </c>
      <c r="E52">
        <v>22.93</v>
      </c>
      <c r="F52" t="s">
        <v>15</v>
      </c>
    </row>
    <row r="53" spans="1:6" x14ac:dyDescent="0.2">
      <c r="A53" t="s">
        <v>70</v>
      </c>
      <c r="B53" t="s">
        <v>11</v>
      </c>
      <c r="C53">
        <v>2026</v>
      </c>
      <c r="D53" t="s">
        <v>46</v>
      </c>
      <c r="E53">
        <v>24.65</v>
      </c>
      <c r="F53" t="s">
        <v>9</v>
      </c>
    </row>
    <row r="54" spans="1:6" x14ac:dyDescent="0.2">
      <c r="A54" t="s">
        <v>71</v>
      </c>
      <c r="B54" t="s">
        <v>19</v>
      </c>
      <c r="C54">
        <v>2023</v>
      </c>
      <c r="D54" t="s">
        <v>14</v>
      </c>
      <c r="E54">
        <v>23.62</v>
      </c>
      <c r="F54" t="s">
        <v>9</v>
      </c>
    </row>
    <row r="55" spans="1:6" x14ac:dyDescent="0.2">
      <c r="A55" t="s">
        <v>72</v>
      </c>
      <c r="B55" t="s">
        <v>7</v>
      </c>
      <c r="C55">
        <v>2023</v>
      </c>
      <c r="D55" t="s">
        <v>8</v>
      </c>
      <c r="E55">
        <v>36.75</v>
      </c>
      <c r="F55" t="s">
        <v>15</v>
      </c>
    </row>
    <row r="56" spans="1:6" x14ac:dyDescent="0.2">
      <c r="A56" t="s">
        <v>73</v>
      </c>
      <c r="B56" t="s">
        <v>26</v>
      </c>
      <c r="C56">
        <v>2024</v>
      </c>
      <c r="D56" t="s">
        <v>46</v>
      </c>
      <c r="E56">
        <v>34.25</v>
      </c>
      <c r="F56" t="s">
        <v>15</v>
      </c>
    </row>
    <row r="57" spans="1:6" x14ac:dyDescent="0.2">
      <c r="A57" t="s">
        <v>74</v>
      </c>
      <c r="B57" t="s">
        <v>11</v>
      </c>
      <c r="C57">
        <v>2022</v>
      </c>
      <c r="D57" t="s">
        <v>8</v>
      </c>
      <c r="E57">
        <v>37.14</v>
      </c>
      <c r="F57" t="s">
        <v>31</v>
      </c>
    </row>
    <row r="58" spans="1:6" x14ac:dyDescent="0.2">
      <c r="A58" t="s">
        <v>75</v>
      </c>
      <c r="B58" t="s">
        <v>19</v>
      </c>
      <c r="C58">
        <v>2025</v>
      </c>
      <c r="D58" t="s">
        <v>14</v>
      </c>
      <c r="E58">
        <v>28.96</v>
      </c>
      <c r="F58" t="s">
        <v>31</v>
      </c>
    </row>
    <row r="59" spans="1:6" x14ac:dyDescent="0.2">
      <c r="A59" t="s">
        <v>76</v>
      </c>
      <c r="B59" t="s">
        <v>17</v>
      </c>
      <c r="C59">
        <v>2023</v>
      </c>
      <c r="D59" t="s">
        <v>14</v>
      </c>
      <c r="E59">
        <v>29.38</v>
      </c>
      <c r="F59" t="s">
        <v>15</v>
      </c>
    </row>
    <row r="60" spans="1:6" x14ac:dyDescent="0.2">
      <c r="A60" t="s">
        <v>77</v>
      </c>
      <c r="B60" t="s">
        <v>19</v>
      </c>
      <c r="C60">
        <v>2025</v>
      </c>
      <c r="D60" t="s">
        <v>8</v>
      </c>
      <c r="E60">
        <v>29.59</v>
      </c>
      <c r="F60" t="s">
        <v>9</v>
      </c>
    </row>
    <row r="61" spans="1:6" x14ac:dyDescent="0.2">
      <c r="A61" t="s">
        <v>78</v>
      </c>
      <c r="B61" t="s">
        <v>7</v>
      </c>
      <c r="C61">
        <v>2025</v>
      </c>
      <c r="D61" t="s">
        <v>8</v>
      </c>
      <c r="E61">
        <v>29.99</v>
      </c>
      <c r="F61" t="s">
        <v>15</v>
      </c>
    </row>
    <row r="62" spans="1:6" x14ac:dyDescent="0.2">
      <c r="A62" t="s">
        <v>79</v>
      </c>
      <c r="B62" t="s">
        <v>17</v>
      </c>
      <c r="C62">
        <v>2025</v>
      </c>
      <c r="D62" t="s">
        <v>46</v>
      </c>
      <c r="E62">
        <v>28.42</v>
      </c>
      <c r="F62" t="s">
        <v>31</v>
      </c>
    </row>
    <row r="63" spans="1:6" x14ac:dyDescent="0.2">
      <c r="A63" t="s">
        <v>80</v>
      </c>
      <c r="B63" t="s">
        <v>7</v>
      </c>
      <c r="C63">
        <v>2023</v>
      </c>
      <c r="D63" t="s">
        <v>24</v>
      </c>
      <c r="E63">
        <v>33.83</v>
      </c>
      <c r="F63" t="s">
        <v>15</v>
      </c>
    </row>
    <row r="64" spans="1:6" x14ac:dyDescent="0.2">
      <c r="A64" t="s">
        <v>81</v>
      </c>
      <c r="B64" t="s">
        <v>11</v>
      </c>
      <c r="C64">
        <v>2023</v>
      </c>
      <c r="D64" t="s">
        <v>12</v>
      </c>
      <c r="E64">
        <v>22.71</v>
      </c>
      <c r="F64" t="s">
        <v>15</v>
      </c>
    </row>
    <row r="65" spans="1:6" x14ac:dyDescent="0.2">
      <c r="A65" t="s">
        <v>82</v>
      </c>
      <c r="B65" t="s">
        <v>26</v>
      </c>
      <c r="C65">
        <v>2023</v>
      </c>
      <c r="D65" t="s">
        <v>8</v>
      </c>
      <c r="E65">
        <v>35.630000000000003</v>
      </c>
      <c r="F65" t="s">
        <v>15</v>
      </c>
    </row>
    <row r="66" spans="1:6" x14ac:dyDescent="0.2">
      <c r="A66" t="s">
        <v>83</v>
      </c>
      <c r="B66" t="s">
        <v>17</v>
      </c>
      <c r="C66">
        <v>2025</v>
      </c>
      <c r="D66" t="s">
        <v>46</v>
      </c>
      <c r="E66">
        <v>31.62</v>
      </c>
      <c r="F66" t="s">
        <v>31</v>
      </c>
    </row>
    <row r="67" spans="1:6" x14ac:dyDescent="0.2">
      <c r="A67" t="s">
        <v>84</v>
      </c>
      <c r="B67" t="s">
        <v>11</v>
      </c>
      <c r="C67">
        <v>2023</v>
      </c>
      <c r="D67" t="s">
        <v>8</v>
      </c>
      <c r="E67">
        <v>32.75</v>
      </c>
      <c r="F67" t="s">
        <v>15</v>
      </c>
    </row>
    <row r="68" spans="1:6" x14ac:dyDescent="0.2">
      <c r="A68" t="s">
        <v>85</v>
      </c>
      <c r="B68" t="s">
        <v>7</v>
      </c>
      <c r="C68">
        <v>2023</v>
      </c>
      <c r="D68" t="s">
        <v>46</v>
      </c>
      <c r="E68">
        <v>31.39</v>
      </c>
      <c r="F68" t="s">
        <v>9</v>
      </c>
    </row>
    <row r="69" spans="1:6" x14ac:dyDescent="0.2">
      <c r="A69" t="s">
        <v>86</v>
      </c>
      <c r="B69" t="s">
        <v>17</v>
      </c>
      <c r="C69">
        <v>2024</v>
      </c>
      <c r="D69" t="s">
        <v>46</v>
      </c>
      <c r="E69">
        <v>27.27</v>
      </c>
      <c r="F69" t="s">
        <v>31</v>
      </c>
    </row>
    <row r="70" spans="1:6" x14ac:dyDescent="0.2">
      <c r="A70" t="s">
        <v>87</v>
      </c>
      <c r="B70" t="s">
        <v>17</v>
      </c>
      <c r="C70">
        <v>2023</v>
      </c>
      <c r="D70" t="s">
        <v>8</v>
      </c>
      <c r="E70">
        <v>30.55</v>
      </c>
      <c r="F70" t="s">
        <v>31</v>
      </c>
    </row>
    <row r="71" spans="1:6" x14ac:dyDescent="0.2">
      <c r="A71" t="s">
        <v>88</v>
      </c>
      <c r="B71" t="s">
        <v>19</v>
      </c>
      <c r="C71">
        <v>2022</v>
      </c>
      <c r="D71" t="s">
        <v>14</v>
      </c>
      <c r="E71">
        <v>35.14</v>
      </c>
      <c r="F71" t="s">
        <v>15</v>
      </c>
    </row>
    <row r="72" spans="1:6" x14ac:dyDescent="0.2">
      <c r="A72" t="s">
        <v>89</v>
      </c>
      <c r="B72" t="s">
        <v>11</v>
      </c>
      <c r="C72">
        <v>2022</v>
      </c>
      <c r="D72" t="s">
        <v>8</v>
      </c>
      <c r="E72">
        <v>29.86</v>
      </c>
      <c r="F72" t="s">
        <v>9</v>
      </c>
    </row>
    <row r="73" spans="1:6" x14ac:dyDescent="0.2">
      <c r="A73" t="s">
        <v>90</v>
      </c>
      <c r="B73" t="s">
        <v>17</v>
      </c>
      <c r="C73">
        <v>2026</v>
      </c>
      <c r="D73" t="s">
        <v>14</v>
      </c>
      <c r="E73">
        <v>32.18</v>
      </c>
      <c r="F73" t="s">
        <v>9</v>
      </c>
    </row>
    <row r="74" spans="1:6" x14ac:dyDescent="0.2">
      <c r="A74" t="s">
        <v>91</v>
      </c>
      <c r="B74" t="s">
        <v>26</v>
      </c>
      <c r="C74">
        <v>2024</v>
      </c>
      <c r="D74" t="s">
        <v>8</v>
      </c>
      <c r="E74">
        <v>30.08</v>
      </c>
      <c r="F74" t="s">
        <v>9</v>
      </c>
    </row>
    <row r="75" spans="1:6" x14ac:dyDescent="0.2">
      <c r="A75" t="s">
        <v>92</v>
      </c>
      <c r="B75" t="s">
        <v>26</v>
      </c>
      <c r="C75">
        <v>2025</v>
      </c>
      <c r="D75" t="s">
        <v>8</v>
      </c>
      <c r="E75">
        <v>27.15</v>
      </c>
      <c r="F75" t="s">
        <v>15</v>
      </c>
    </row>
    <row r="76" spans="1:6" x14ac:dyDescent="0.2">
      <c r="A76" t="s">
        <v>93</v>
      </c>
      <c r="B76" t="s">
        <v>19</v>
      </c>
      <c r="C76">
        <v>2022</v>
      </c>
      <c r="D76" t="s">
        <v>8</v>
      </c>
      <c r="E76">
        <v>42.95</v>
      </c>
      <c r="F76" t="s">
        <v>15</v>
      </c>
    </row>
    <row r="77" spans="1:6" x14ac:dyDescent="0.2">
      <c r="A77" t="s">
        <v>94</v>
      </c>
      <c r="B77" t="s">
        <v>17</v>
      </c>
      <c r="C77">
        <v>2026</v>
      </c>
      <c r="D77" t="s">
        <v>8</v>
      </c>
      <c r="E77">
        <v>33.56</v>
      </c>
      <c r="F77" t="s">
        <v>9</v>
      </c>
    </row>
    <row r="78" spans="1:6" x14ac:dyDescent="0.2">
      <c r="A78" t="s">
        <v>95</v>
      </c>
      <c r="B78" t="s">
        <v>19</v>
      </c>
      <c r="C78">
        <v>2024</v>
      </c>
      <c r="D78" t="s">
        <v>12</v>
      </c>
      <c r="E78">
        <v>27.77</v>
      </c>
      <c r="F78" t="s">
        <v>15</v>
      </c>
    </row>
    <row r="79" spans="1:6" x14ac:dyDescent="0.2">
      <c r="A79" t="s">
        <v>96</v>
      </c>
      <c r="B79" t="s">
        <v>19</v>
      </c>
      <c r="C79">
        <v>2024</v>
      </c>
      <c r="D79" t="s">
        <v>12</v>
      </c>
      <c r="E79">
        <v>35.049999999999997</v>
      </c>
      <c r="F79" t="s">
        <v>9</v>
      </c>
    </row>
    <row r="80" spans="1:6" x14ac:dyDescent="0.2">
      <c r="A80" t="s">
        <v>97</v>
      </c>
      <c r="B80" t="s">
        <v>19</v>
      </c>
      <c r="C80">
        <v>2023</v>
      </c>
      <c r="D80" t="s">
        <v>24</v>
      </c>
      <c r="E80">
        <v>29.04</v>
      </c>
      <c r="F80" t="s">
        <v>15</v>
      </c>
    </row>
    <row r="81" spans="1:6" x14ac:dyDescent="0.2">
      <c r="A81" t="s">
        <v>98</v>
      </c>
      <c r="B81" t="s">
        <v>17</v>
      </c>
      <c r="C81">
        <v>2022</v>
      </c>
      <c r="D81" t="s">
        <v>24</v>
      </c>
      <c r="E81">
        <v>33.97</v>
      </c>
      <c r="F81" t="s">
        <v>15</v>
      </c>
    </row>
    <row r="82" spans="1:6" x14ac:dyDescent="0.2">
      <c r="A82" t="s">
        <v>99</v>
      </c>
      <c r="B82" t="s">
        <v>17</v>
      </c>
      <c r="C82">
        <v>2022</v>
      </c>
      <c r="D82" t="s">
        <v>12</v>
      </c>
      <c r="E82">
        <v>22.67</v>
      </c>
      <c r="F82" t="s">
        <v>15</v>
      </c>
    </row>
    <row r="83" spans="1:6" x14ac:dyDescent="0.2">
      <c r="A83" t="s">
        <v>100</v>
      </c>
      <c r="B83" t="s">
        <v>7</v>
      </c>
      <c r="C83">
        <v>2024</v>
      </c>
      <c r="D83" t="s">
        <v>12</v>
      </c>
      <c r="E83">
        <v>21.73</v>
      </c>
      <c r="F83" t="s">
        <v>31</v>
      </c>
    </row>
    <row r="84" spans="1:6" x14ac:dyDescent="0.2">
      <c r="A84" t="s">
        <v>101</v>
      </c>
      <c r="B84" t="s">
        <v>19</v>
      </c>
      <c r="C84">
        <v>2026</v>
      </c>
      <c r="D84" t="s">
        <v>24</v>
      </c>
      <c r="E84">
        <v>29.59</v>
      </c>
      <c r="F84" t="s">
        <v>31</v>
      </c>
    </row>
    <row r="85" spans="1:6" x14ac:dyDescent="0.2">
      <c r="A85" t="s">
        <v>102</v>
      </c>
      <c r="B85" t="s">
        <v>19</v>
      </c>
      <c r="C85">
        <v>2023</v>
      </c>
      <c r="D85" t="s">
        <v>14</v>
      </c>
      <c r="E85">
        <v>25.23</v>
      </c>
      <c r="F85" t="s">
        <v>15</v>
      </c>
    </row>
    <row r="86" spans="1:6" x14ac:dyDescent="0.2">
      <c r="A86" t="s">
        <v>103</v>
      </c>
      <c r="B86" t="s">
        <v>19</v>
      </c>
      <c r="C86">
        <v>2023</v>
      </c>
      <c r="D86" t="s">
        <v>46</v>
      </c>
      <c r="E86">
        <v>23.3</v>
      </c>
      <c r="F86" t="s">
        <v>31</v>
      </c>
    </row>
    <row r="87" spans="1:6" x14ac:dyDescent="0.2">
      <c r="A87" t="s">
        <v>104</v>
      </c>
      <c r="B87" t="s">
        <v>19</v>
      </c>
      <c r="C87">
        <v>2025</v>
      </c>
      <c r="D87" t="s">
        <v>14</v>
      </c>
      <c r="E87">
        <v>34.909999999999997</v>
      </c>
      <c r="F87" t="s">
        <v>9</v>
      </c>
    </row>
    <row r="88" spans="1:6" x14ac:dyDescent="0.2">
      <c r="A88" t="s">
        <v>105</v>
      </c>
      <c r="B88" t="s">
        <v>26</v>
      </c>
      <c r="C88">
        <v>2024</v>
      </c>
      <c r="D88" t="s">
        <v>24</v>
      </c>
      <c r="E88">
        <v>29.73</v>
      </c>
      <c r="F88" t="s">
        <v>15</v>
      </c>
    </row>
    <row r="89" spans="1:6" x14ac:dyDescent="0.2">
      <c r="A89" t="s">
        <v>106</v>
      </c>
      <c r="B89" t="s">
        <v>17</v>
      </c>
      <c r="C89">
        <v>2026</v>
      </c>
      <c r="D89" t="s">
        <v>14</v>
      </c>
      <c r="E89">
        <v>34.9</v>
      </c>
      <c r="F89" t="s">
        <v>15</v>
      </c>
    </row>
    <row r="90" spans="1:6" x14ac:dyDescent="0.2">
      <c r="A90" t="s">
        <v>107</v>
      </c>
      <c r="B90" t="s">
        <v>19</v>
      </c>
      <c r="C90">
        <v>2024</v>
      </c>
      <c r="D90" t="s">
        <v>8</v>
      </c>
      <c r="E90">
        <v>26.93</v>
      </c>
      <c r="F90" t="s">
        <v>9</v>
      </c>
    </row>
    <row r="91" spans="1:6" x14ac:dyDescent="0.2">
      <c r="A91" t="s">
        <v>108</v>
      </c>
      <c r="B91" t="s">
        <v>17</v>
      </c>
      <c r="C91">
        <v>2023</v>
      </c>
      <c r="D91" t="s">
        <v>24</v>
      </c>
      <c r="E91">
        <v>21.8</v>
      </c>
      <c r="F91" t="s">
        <v>9</v>
      </c>
    </row>
    <row r="92" spans="1:6" x14ac:dyDescent="0.2">
      <c r="A92" t="s">
        <v>109</v>
      </c>
      <c r="B92" t="s">
        <v>11</v>
      </c>
      <c r="C92">
        <v>2022</v>
      </c>
      <c r="D92" t="s">
        <v>46</v>
      </c>
      <c r="E92">
        <v>37.18</v>
      </c>
      <c r="F92" t="s">
        <v>15</v>
      </c>
    </row>
    <row r="93" spans="1:6" x14ac:dyDescent="0.2">
      <c r="A93" t="s">
        <v>110</v>
      </c>
      <c r="B93" t="s">
        <v>19</v>
      </c>
      <c r="C93">
        <v>2025</v>
      </c>
      <c r="D93" t="s">
        <v>46</v>
      </c>
      <c r="E93">
        <v>27.77</v>
      </c>
      <c r="F93" t="s">
        <v>15</v>
      </c>
    </row>
    <row r="94" spans="1:6" x14ac:dyDescent="0.2">
      <c r="A94" t="s">
        <v>111</v>
      </c>
      <c r="B94" t="s">
        <v>17</v>
      </c>
      <c r="C94">
        <v>2023</v>
      </c>
      <c r="D94" t="s">
        <v>24</v>
      </c>
      <c r="E94">
        <v>29.04</v>
      </c>
      <c r="F94" t="s">
        <v>31</v>
      </c>
    </row>
    <row r="95" spans="1:6" x14ac:dyDescent="0.2">
      <c r="A95" t="s">
        <v>112</v>
      </c>
      <c r="B95" t="s">
        <v>7</v>
      </c>
      <c r="C95">
        <v>2025</v>
      </c>
      <c r="D95" t="s">
        <v>8</v>
      </c>
      <c r="E95">
        <v>38.53</v>
      </c>
      <c r="F95" t="s">
        <v>31</v>
      </c>
    </row>
    <row r="96" spans="1:6" x14ac:dyDescent="0.2">
      <c r="A96" t="s">
        <v>113</v>
      </c>
      <c r="B96" t="s">
        <v>19</v>
      </c>
      <c r="C96">
        <v>2022</v>
      </c>
      <c r="D96" t="s">
        <v>12</v>
      </c>
      <c r="E96">
        <v>36.31</v>
      </c>
      <c r="F96" t="s">
        <v>15</v>
      </c>
    </row>
    <row r="97" spans="1:6" x14ac:dyDescent="0.2">
      <c r="A97" t="s">
        <v>114</v>
      </c>
      <c r="B97" t="s">
        <v>11</v>
      </c>
      <c r="C97">
        <v>2022</v>
      </c>
      <c r="D97" t="s">
        <v>8</v>
      </c>
      <c r="E97">
        <v>30.04</v>
      </c>
      <c r="F97" t="s">
        <v>15</v>
      </c>
    </row>
    <row r="98" spans="1:6" x14ac:dyDescent="0.2">
      <c r="A98" t="s">
        <v>115</v>
      </c>
      <c r="B98" t="s">
        <v>19</v>
      </c>
      <c r="C98">
        <v>2023</v>
      </c>
      <c r="D98" t="s">
        <v>8</v>
      </c>
      <c r="E98">
        <v>30.44</v>
      </c>
      <c r="F98" t="s">
        <v>9</v>
      </c>
    </row>
    <row r="99" spans="1:6" x14ac:dyDescent="0.2">
      <c r="A99" t="s">
        <v>116</v>
      </c>
      <c r="B99" t="s">
        <v>17</v>
      </c>
      <c r="C99">
        <v>2026</v>
      </c>
      <c r="D99" t="s">
        <v>46</v>
      </c>
      <c r="E99">
        <v>39.049999999999997</v>
      </c>
      <c r="F99" t="s">
        <v>15</v>
      </c>
    </row>
    <row r="100" spans="1:6" x14ac:dyDescent="0.2">
      <c r="A100" t="s">
        <v>117</v>
      </c>
      <c r="B100" t="s">
        <v>26</v>
      </c>
      <c r="C100">
        <v>2025</v>
      </c>
      <c r="D100" t="s">
        <v>14</v>
      </c>
      <c r="E100">
        <v>25.93</v>
      </c>
      <c r="F100" t="s">
        <v>15</v>
      </c>
    </row>
    <row r="101" spans="1:6" x14ac:dyDescent="0.2">
      <c r="A101" t="s">
        <v>118</v>
      </c>
      <c r="B101" t="s">
        <v>26</v>
      </c>
      <c r="C101">
        <v>2024</v>
      </c>
      <c r="D101" t="s">
        <v>14</v>
      </c>
      <c r="E101">
        <v>36.01</v>
      </c>
      <c r="F101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4C703-530E-F34C-B4C8-03B781C5CC0F}">
  <dimension ref="A1:O101"/>
  <sheetViews>
    <sheetView tabSelected="1" workbookViewId="0">
      <selection activeCell="L1" sqref="L1:L1048576"/>
    </sheetView>
  </sheetViews>
  <sheetFormatPr baseColWidth="10" defaultRowHeight="16" x14ac:dyDescent="0.2"/>
  <cols>
    <col min="1" max="1" width="13.33203125" customWidth="1"/>
    <col min="3" max="3" width="14.33203125" customWidth="1"/>
    <col min="6" max="6" width="15.33203125" customWidth="1"/>
    <col min="8" max="8" width="12.1640625" customWidth="1"/>
    <col min="13" max="13" width="17.5" customWidth="1"/>
    <col min="14" max="14" width="20.83203125" customWidth="1"/>
  </cols>
  <sheetData>
    <row r="1" spans="1:15" x14ac:dyDescent="0.2">
      <c r="A1" s="1" t="s">
        <v>4</v>
      </c>
      <c r="C1" t="s">
        <v>121</v>
      </c>
      <c r="D1">
        <f>COUNT(A2:A101)</f>
        <v>100</v>
      </c>
      <c r="F1" t="s">
        <v>122</v>
      </c>
      <c r="G1" t="s">
        <v>123</v>
      </c>
      <c r="H1" t="s">
        <v>124</v>
      </c>
      <c r="J1" t="s">
        <v>125</v>
      </c>
      <c r="K1" t="s">
        <v>123</v>
      </c>
      <c r="L1" t="s">
        <v>124</v>
      </c>
    </row>
    <row r="2" spans="1:15" x14ac:dyDescent="0.2">
      <c r="A2" s="1">
        <v>18.2</v>
      </c>
      <c r="C2" t="s">
        <v>119</v>
      </c>
      <c r="D2">
        <f>AVERAGE(A2:A101)</f>
        <v>30.177800000000005</v>
      </c>
      <c r="F2" cm="1">
        <f t="array" aca="1" ref="F2" ca="1">INDEX($A$2:$A$101,RANDBETWEEN(1,100))</f>
        <v>34.479999999999997</v>
      </c>
      <c r="G2">
        <f ca="1">AVERAGE(F2)</f>
        <v>34.479999999999997</v>
      </c>
      <c r="H2">
        <f ca="1">MEDIAN(F2:F101)</f>
        <v>29.924999999999997</v>
      </c>
      <c r="J2">
        <v>1</v>
      </c>
      <c r="K2">
        <f ca="1">G2</f>
        <v>34.479999999999997</v>
      </c>
      <c r="L2">
        <f ca="1">H2</f>
        <v>29.924999999999997</v>
      </c>
    </row>
    <row r="3" spans="1:15" x14ac:dyDescent="0.2">
      <c r="A3" s="1">
        <v>42</v>
      </c>
      <c r="C3" t="s">
        <v>120</v>
      </c>
      <c r="D3">
        <f>MEDIAN(A2:A101)</f>
        <v>30.06</v>
      </c>
      <c r="F3" cm="1">
        <f t="array" aca="1" ref="F3" ca="1">INDEX($A$2:$A$101,RANDBETWEEN(1,100))</f>
        <v>21.01</v>
      </c>
      <c r="G3">
        <f ca="1">AVERAGE(F2:F101)</f>
        <v>29.923599999999993</v>
      </c>
      <c r="H3">
        <f t="shared" ref="H3:H66" ca="1" si="0">MEDIAN(F3:F102)</f>
        <v>29.86</v>
      </c>
      <c r="J3">
        <v>2</v>
      </c>
      <c r="K3">
        <f t="shared" ref="K3:K66" ca="1" si="1">G3</f>
        <v>29.923599999999993</v>
      </c>
      <c r="L3">
        <f t="shared" ref="L3:L66" ca="1" si="2">H3</f>
        <v>29.86</v>
      </c>
      <c r="N3" t="s">
        <v>126</v>
      </c>
      <c r="O3">
        <f ca="1">_xlfn.PERCENTILE.EXC(K2:K101, 0.025)</f>
        <v>29.239816287878789</v>
      </c>
    </row>
    <row r="4" spans="1:15" x14ac:dyDescent="0.2">
      <c r="A4" s="1">
        <v>26.81</v>
      </c>
      <c r="F4" cm="1">
        <f t="array" aca="1" ref="F4" ca="1">INDEX($A$2:$A$101,RANDBETWEEN(1,100))</f>
        <v>27.02</v>
      </c>
      <c r="G4">
        <f t="shared" ref="G4:G67" ca="1" si="3">AVERAGE(F3:F102)</f>
        <v>29.877575757575748</v>
      </c>
      <c r="H4">
        <f t="shared" ca="1" si="0"/>
        <v>29.924999999999997</v>
      </c>
      <c r="J4">
        <v>3</v>
      </c>
      <c r="K4">
        <f t="shared" ca="1" si="1"/>
        <v>29.877575757575748</v>
      </c>
      <c r="L4">
        <f t="shared" ca="1" si="2"/>
        <v>29.924999999999997</v>
      </c>
      <c r="N4" t="s">
        <v>127</v>
      </c>
      <c r="O4">
        <f ca="1">_xlfn.PERCENTILE.EXC(K2:K101, 0.975)</f>
        <v>31.518749999999997</v>
      </c>
    </row>
    <row r="5" spans="1:15" x14ac:dyDescent="0.2">
      <c r="A5" s="1">
        <v>28.51</v>
      </c>
      <c r="F5" cm="1">
        <f t="array" aca="1" ref="F5" ca="1">INDEX($A$2:$A$101,RANDBETWEEN(1,100))</f>
        <v>31.62</v>
      </c>
      <c r="G5">
        <f t="shared" ca="1" si="3"/>
        <v>29.968061224489791</v>
      </c>
      <c r="H5">
        <f t="shared" ca="1" si="0"/>
        <v>29.99</v>
      </c>
      <c r="J5">
        <v>4</v>
      </c>
      <c r="K5">
        <f t="shared" ca="1" si="1"/>
        <v>29.968061224489791</v>
      </c>
      <c r="L5">
        <f t="shared" ca="1" si="2"/>
        <v>29.99</v>
      </c>
      <c r="N5" t="s">
        <v>128</v>
      </c>
      <c r="O5">
        <f ca="1">_xlfn.PERCENTILE.EXC(L2:L101, 0.025)</f>
        <v>29.555</v>
      </c>
    </row>
    <row r="6" spans="1:15" x14ac:dyDescent="0.2">
      <c r="A6" s="1">
        <v>22.66</v>
      </c>
      <c r="F6" cm="1">
        <f t="array" aca="1" ref="F6" ca="1">INDEX($A$2:$A$101,RANDBETWEEN(1,100))</f>
        <v>33.97</v>
      </c>
      <c r="G6">
        <f t="shared" ca="1" si="3"/>
        <v>29.998453608247416</v>
      </c>
      <c r="H6">
        <f t="shared" ca="1" si="0"/>
        <v>29.924999999999997</v>
      </c>
      <c r="J6">
        <v>5</v>
      </c>
      <c r="K6">
        <f t="shared" ca="1" si="1"/>
        <v>29.998453608247416</v>
      </c>
      <c r="L6">
        <f t="shared" ca="1" si="2"/>
        <v>29.924999999999997</v>
      </c>
      <c r="N6" t="s">
        <v>129</v>
      </c>
      <c r="O6">
        <f ca="1">_xlfn.PERCENTILE.EXC(L2:L101, 0.975)</f>
        <v>32.445</v>
      </c>
    </row>
    <row r="7" spans="1:15" x14ac:dyDescent="0.2">
      <c r="A7" s="1">
        <v>32.81</v>
      </c>
      <c r="F7" cm="1">
        <f t="array" aca="1" ref="F7" ca="1">INDEX($A$2:$A$101,RANDBETWEEN(1,100))</f>
        <v>29.99</v>
      </c>
      <c r="G7">
        <f t="shared" ca="1" si="3"/>
        <v>29.981562499999995</v>
      </c>
      <c r="H7">
        <f t="shared" ca="1" si="0"/>
        <v>29.86</v>
      </c>
      <c r="J7">
        <v>6</v>
      </c>
      <c r="K7">
        <f t="shared" ca="1" si="1"/>
        <v>29.981562499999995</v>
      </c>
      <c r="L7">
        <f t="shared" ca="1" si="2"/>
        <v>29.86</v>
      </c>
    </row>
    <row r="8" spans="1:15" x14ac:dyDescent="0.2">
      <c r="A8" s="1">
        <v>22.04</v>
      </c>
      <c r="F8" cm="1">
        <f t="array" aca="1" ref="F8" ca="1">INDEX($A$2:$A$101,RANDBETWEEN(1,100))</f>
        <v>31.39</v>
      </c>
      <c r="G8">
        <f t="shared" ca="1" si="3"/>
        <v>29.939578947368418</v>
      </c>
      <c r="H8">
        <f t="shared" ca="1" si="0"/>
        <v>29.86</v>
      </c>
      <c r="J8">
        <v>7</v>
      </c>
      <c r="K8">
        <f t="shared" ca="1" si="1"/>
        <v>29.939578947368418</v>
      </c>
      <c r="L8">
        <f t="shared" ca="1" si="2"/>
        <v>29.86</v>
      </c>
    </row>
    <row r="9" spans="1:15" x14ac:dyDescent="0.2">
      <c r="A9" s="1">
        <v>34.26</v>
      </c>
      <c r="F9" cm="1">
        <f t="array" aca="1" ref="F9" ca="1">INDEX($A$2:$A$101,RANDBETWEEN(1,100))</f>
        <v>33.56</v>
      </c>
      <c r="G9">
        <f t="shared" ca="1" si="3"/>
        <v>29.939042553191484</v>
      </c>
      <c r="H9">
        <f t="shared" ca="1" si="0"/>
        <v>29.86</v>
      </c>
      <c r="J9">
        <v>8</v>
      </c>
      <c r="K9">
        <f t="shared" ca="1" si="1"/>
        <v>29.939042553191484</v>
      </c>
      <c r="L9">
        <f t="shared" ca="1" si="2"/>
        <v>29.86</v>
      </c>
    </row>
    <row r="10" spans="1:15" x14ac:dyDescent="0.2">
      <c r="A10" s="1">
        <v>30.92</v>
      </c>
      <c r="F10" cm="1">
        <f t="array" aca="1" ref="F10" ca="1">INDEX($A$2:$A$101,RANDBETWEEN(1,100))</f>
        <v>32.18</v>
      </c>
      <c r="G10">
        <f t="shared" ca="1" si="3"/>
        <v>29.923440860215049</v>
      </c>
      <c r="H10">
        <f t="shared" ca="1" si="0"/>
        <v>29.85</v>
      </c>
      <c r="J10">
        <v>9</v>
      </c>
      <c r="K10">
        <f t="shared" ca="1" si="1"/>
        <v>29.923440860215049</v>
      </c>
      <c r="L10">
        <f t="shared" ca="1" si="2"/>
        <v>29.85</v>
      </c>
    </row>
    <row r="11" spans="1:15" x14ac:dyDescent="0.2">
      <c r="A11" s="1">
        <v>34.479999999999997</v>
      </c>
      <c r="F11" cm="1">
        <f t="array" aca="1" ref="F11" ca="1">INDEX($A$2:$A$101,RANDBETWEEN(1,100))</f>
        <v>22.18</v>
      </c>
      <c r="G11">
        <f t="shared" ca="1" si="3"/>
        <v>29.883913043478252</v>
      </c>
      <c r="H11">
        <f t="shared" ca="1" si="0"/>
        <v>29.84</v>
      </c>
      <c r="J11">
        <v>10</v>
      </c>
      <c r="K11">
        <f t="shared" ca="1" si="1"/>
        <v>29.883913043478252</v>
      </c>
      <c r="L11">
        <f t="shared" ca="1" si="2"/>
        <v>29.84</v>
      </c>
    </row>
    <row r="12" spans="1:15" x14ac:dyDescent="0.2">
      <c r="A12" s="1">
        <v>34.97</v>
      </c>
      <c r="F12" cm="1">
        <f t="array" aca="1" ref="F12" ca="1">INDEX($A$2:$A$101,RANDBETWEEN(1,100))</f>
        <v>29.86</v>
      </c>
      <c r="G12">
        <f t="shared" ca="1" si="3"/>
        <v>29.858681318681317</v>
      </c>
      <c r="H12">
        <f t="shared" ca="1" si="0"/>
        <v>29.85</v>
      </c>
      <c r="J12">
        <v>11</v>
      </c>
      <c r="K12">
        <f t="shared" ca="1" si="1"/>
        <v>29.858681318681317</v>
      </c>
      <c r="L12">
        <f t="shared" ca="1" si="2"/>
        <v>29.85</v>
      </c>
    </row>
    <row r="13" spans="1:15" x14ac:dyDescent="0.2">
      <c r="A13" s="1">
        <v>35.75</v>
      </c>
      <c r="F13" cm="1">
        <f t="array" aca="1" ref="F13" ca="1">INDEX($A$2:$A$101,RANDBETWEEN(1,100))</f>
        <v>39.049999999999997</v>
      </c>
      <c r="G13">
        <f t="shared" ca="1" si="3"/>
        <v>29.943999999999999</v>
      </c>
      <c r="H13">
        <f t="shared" ca="1" si="0"/>
        <v>29.84</v>
      </c>
      <c r="J13">
        <v>12</v>
      </c>
      <c r="K13">
        <f t="shared" ca="1" si="1"/>
        <v>29.943999999999999</v>
      </c>
      <c r="L13">
        <f t="shared" ca="1" si="2"/>
        <v>29.84</v>
      </c>
    </row>
    <row r="14" spans="1:15" x14ac:dyDescent="0.2">
      <c r="A14" s="1">
        <v>29.3</v>
      </c>
      <c r="F14" cm="1">
        <f t="array" aca="1" ref="F14" ca="1">INDEX($A$2:$A$101,RANDBETWEEN(1,100))</f>
        <v>27.77</v>
      </c>
      <c r="G14">
        <f t="shared" ca="1" si="3"/>
        <v>29.944943820224719</v>
      </c>
      <c r="H14">
        <f t="shared" ca="1" si="0"/>
        <v>29.785</v>
      </c>
      <c r="J14">
        <v>13</v>
      </c>
      <c r="K14">
        <f t="shared" ca="1" si="1"/>
        <v>29.944943820224719</v>
      </c>
      <c r="L14">
        <f t="shared" ca="1" si="2"/>
        <v>29.785</v>
      </c>
    </row>
    <row r="15" spans="1:15" x14ac:dyDescent="0.2">
      <c r="A15" s="1">
        <v>27.38</v>
      </c>
      <c r="F15" cm="1">
        <f t="array" aca="1" ref="F15" ca="1">INDEX($A$2:$A$101,RANDBETWEEN(1,100))</f>
        <v>21.23</v>
      </c>
      <c r="G15">
        <f t="shared" ca="1" si="3"/>
        <v>29.841477272727275</v>
      </c>
      <c r="H15">
        <f t="shared" ca="1" si="0"/>
        <v>29.84</v>
      </c>
      <c r="J15">
        <v>14</v>
      </c>
      <c r="K15">
        <f t="shared" ca="1" si="1"/>
        <v>29.841477272727275</v>
      </c>
      <c r="L15">
        <f t="shared" ca="1" si="2"/>
        <v>29.84</v>
      </c>
    </row>
    <row r="16" spans="1:15" x14ac:dyDescent="0.2">
      <c r="A16" s="1">
        <v>24.67</v>
      </c>
      <c r="F16" cm="1">
        <f t="array" aca="1" ref="F16" ca="1">INDEX($A$2:$A$101,RANDBETWEEN(1,100))</f>
        <v>39.049999999999997</v>
      </c>
      <c r="G16">
        <f t="shared" ca="1" si="3"/>
        <v>29.86528735632184</v>
      </c>
      <c r="H16">
        <f t="shared" ca="1" si="0"/>
        <v>29.85</v>
      </c>
      <c r="J16">
        <v>15</v>
      </c>
      <c r="K16">
        <f t="shared" ca="1" si="1"/>
        <v>29.86528735632184</v>
      </c>
      <c r="L16">
        <f t="shared" ca="1" si="2"/>
        <v>29.85</v>
      </c>
    </row>
    <row r="17" spans="1:12" x14ac:dyDescent="0.2">
      <c r="A17" s="1">
        <v>30.93</v>
      </c>
      <c r="F17" cm="1">
        <f t="array" aca="1" ref="F17" ca="1">INDEX($A$2:$A$101,RANDBETWEEN(1,100))</f>
        <v>21.01</v>
      </c>
      <c r="G17">
        <f t="shared" ca="1" si="3"/>
        <v>29.965697674418607</v>
      </c>
      <c r="H17">
        <f t="shared" ca="1" si="0"/>
        <v>29.84</v>
      </c>
      <c r="J17">
        <v>16</v>
      </c>
      <c r="K17">
        <f t="shared" ca="1" si="1"/>
        <v>29.965697674418607</v>
      </c>
      <c r="L17">
        <f t="shared" ca="1" si="2"/>
        <v>29.84</v>
      </c>
    </row>
    <row r="18" spans="1:12" x14ac:dyDescent="0.2">
      <c r="A18" s="1">
        <v>21.01</v>
      </c>
      <c r="F18" cm="1">
        <f t="array" aca="1" ref="F18" ca="1">INDEX($A$2:$A$101,RANDBETWEEN(1,100))</f>
        <v>28.42</v>
      </c>
      <c r="G18">
        <f t="shared" ca="1" si="3"/>
        <v>29.858823529411769</v>
      </c>
      <c r="H18">
        <f t="shared" ca="1" si="0"/>
        <v>29.85</v>
      </c>
      <c r="J18">
        <v>17</v>
      </c>
      <c r="K18">
        <f t="shared" ca="1" si="1"/>
        <v>29.858823529411769</v>
      </c>
      <c r="L18">
        <f t="shared" ca="1" si="2"/>
        <v>29.85</v>
      </c>
    </row>
    <row r="19" spans="1:12" x14ac:dyDescent="0.2">
      <c r="A19" s="1">
        <v>33.81</v>
      </c>
      <c r="F19" cm="1">
        <f t="array" aca="1" ref="F19" ca="1">INDEX($A$2:$A$101,RANDBETWEEN(1,100))</f>
        <v>25.91</v>
      </c>
      <c r="G19">
        <f t="shared" ca="1" si="3"/>
        <v>29.964166666666671</v>
      </c>
      <c r="H19">
        <f t="shared" ca="1" si="0"/>
        <v>29.86</v>
      </c>
      <c r="J19">
        <v>18</v>
      </c>
      <c r="K19">
        <f t="shared" ca="1" si="1"/>
        <v>29.964166666666671</v>
      </c>
      <c r="L19">
        <f t="shared" ca="1" si="2"/>
        <v>29.86</v>
      </c>
    </row>
    <row r="20" spans="1:12" x14ac:dyDescent="0.2">
      <c r="A20" s="1">
        <v>30.22</v>
      </c>
      <c r="F20" cm="1">
        <f t="array" aca="1" ref="F20" ca="1">INDEX($A$2:$A$101,RANDBETWEEN(1,100))</f>
        <v>24.65</v>
      </c>
      <c r="G20">
        <f t="shared" ca="1" si="3"/>
        <v>29.982771084337358</v>
      </c>
      <c r="H20">
        <f t="shared" ca="1" si="0"/>
        <v>29.95</v>
      </c>
      <c r="J20">
        <v>19</v>
      </c>
      <c r="K20">
        <f t="shared" ca="1" si="1"/>
        <v>29.982771084337358</v>
      </c>
      <c r="L20">
        <f t="shared" ca="1" si="2"/>
        <v>29.95</v>
      </c>
    </row>
    <row r="21" spans="1:12" x14ac:dyDescent="0.2">
      <c r="A21" s="1">
        <v>31.42</v>
      </c>
      <c r="F21" cm="1">
        <f t="array" aca="1" ref="F21" ca="1">INDEX($A$2:$A$101,RANDBETWEEN(1,100))</f>
        <v>22.67</v>
      </c>
      <c r="G21">
        <f t="shared" ca="1" si="3"/>
        <v>30.032439024390253</v>
      </c>
      <c r="H21">
        <f t="shared" ca="1" si="0"/>
        <v>30.04</v>
      </c>
      <c r="J21">
        <v>20</v>
      </c>
      <c r="K21">
        <f t="shared" ca="1" si="1"/>
        <v>30.032439024390253</v>
      </c>
      <c r="L21">
        <f t="shared" ca="1" si="2"/>
        <v>30.04</v>
      </c>
    </row>
    <row r="22" spans="1:12" x14ac:dyDescent="0.2">
      <c r="A22" s="1">
        <v>23.58</v>
      </c>
      <c r="F22" cm="1">
        <f t="array" aca="1" ref="F22" ca="1">INDEX($A$2:$A$101,RANDBETWEEN(1,100))</f>
        <v>29.73</v>
      </c>
      <c r="G22">
        <f t="shared" ca="1" si="3"/>
        <v>30.098888888888897</v>
      </c>
      <c r="H22">
        <f t="shared" ca="1" si="0"/>
        <v>30.04</v>
      </c>
      <c r="J22">
        <v>21</v>
      </c>
      <c r="K22">
        <f t="shared" ca="1" si="1"/>
        <v>30.098888888888897</v>
      </c>
      <c r="L22">
        <f t="shared" ca="1" si="2"/>
        <v>30.04</v>
      </c>
    </row>
    <row r="23" spans="1:12" x14ac:dyDescent="0.2">
      <c r="A23" s="1">
        <v>38.409999999999997</v>
      </c>
      <c r="F23" cm="1">
        <f t="array" aca="1" ref="F23" ca="1">INDEX($A$2:$A$101,RANDBETWEEN(1,100))</f>
        <v>35.049999999999997</v>
      </c>
      <c r="G23">
        <f t="shared" ca="1" si="3"/>
        <v>30.191750000000006</v>
      </c>
      <c r="H23">
        <f t="shared" ca="1" si="0"/>
        <v>30.04</v>
      </c>
      <c r="J23">
        <v>22</v>
      </c>
      <c r="K23">
        <f t="shared" ca="1" si="1"/>
        <v>30.191750000000006</v>
      </c>
      <c r="L23">
        <f t="shared" ca="1" si="2"/>
        <v>30.04</v>
      </c>
    </row>
    <row r="24" spans="1:12" x14ac:dyDescent="0.2">
      <c r="A24" s="1">
        <v>27.01</v>
      </c>
      <c r="F24" cm="1">
        <f t="array" aca="1" ref="F24" ca="1">INDEX($A$2:$A$101,RANDBETWEEN(1,100))</f>
        <v>35.630000000000003</v>
      </c>
      <c r="G24">
        <f t="shared" ca="1" si="3"/>
        <v>30.197594936708867</v>
      </c>
      <c r="H24">
        <f t="shared" ca="1" si="0"/>
        <v>30.04</v>
      </c>
      <c r="J24">
        <v>23</v>
      </c>
      <c r="K24">
        <f t="shared" ca="1" si="1"/>
        <v>30.197594936708867</v>
      </c>
      <c r="L24">
        <f t="shared" ca="1" si="2"/>
        <v>30.04</v>
      </c>
    </row>
    <row r="25" spans="1:12" x14ac:dyDescent="0.2">
      <c r="A25" s="1">
        <v>37.409999999999997</v>
      </c>
      <c r="F25" cm="1">
        <f t="array" aca="1" ref="F25" ca="1">INDEX($A$2:$A$101,RANDBETWEEN(1,100))</f>
        <v>39.29</v>
      </c>
      <c r="G25">
        <f t="shared" ca="1" si="3"/>
        <v>30.135384615384627</v>
      </c>
      <c r="H25">
        <f t="shared" ca="1" si="0"/>
        <v>30.04</v>
      </c>
      <c r="J25">
        <v>24</v>
      </c>
      <c r="K25">
        <f t="shared" ca="1" si="1"/>
        <v>30.135384615384627</v>
      </c>
      <c r="L25">
        <f t="shared" ca="1" si="2"/>
        <v>30.04</v>
      </c>
    </row>
    <row r="26" spans="1:12" x14ac:dyDescent="0.2">
      <c r="A26" s="1">
        <v>29.51</v>
      </c>
      <c r="F26" cm="1">
        <f t="array" aca="1" ref="F26" ca="1">INDEX($A$2:$A$101,RANDBETWEEN(1,100))</f>
        <v>31.39</v>
      </c>
      <c r="G26">
        <f t="shared" ca="1" si="3"/>
        <v>30.064025974025984</v>
      </c>
      <c r="H26">
        <f t="shared" ca="1" si="0"/>
        <v>29.95</v>
      </c>
      <c r="J26">
        <v>25</v>
      </c>
      <c r="K26">
        <f t="shared" ca="1" si="1"/>
        <v>30.064025974025984</v>
      </c>
      <c r="L26">
        <f t="shared" ca="1" si="2"/>
        <v>29.95</v>
      </c>
    </row>
    <row r="27" spans="1:12" x14ac:dyDescent="0.2">
      <c r="A27" s="1">
        <v>23.64</v>
      </c>
      <c r="F27" cm="1">
        <f t="array" aca="1" ref="F27" ca="1">INDEX($A$2:$A$101,RANDBETWEEN(1,100))</f>
        <v>22.67</v>
      </c>
      <c r="G27">
        <f t="shared" ca="1" si="3"/>
        <v>29.942631578947378</v>
      </c>
      <c r="H27">
        <f t="shared" ca="1" si="0"/>
        <v>29.86</v>
      </c>
      <c r="J27">
        <v>26</v>
      </c>
      <c r="K27">
        <f t="shared" ca="1" si="1"/>
        <v>29.942631578947378</v>
      </c>
      <c r="L27">
        <f t="shared" ca="1" si="2"/>
        <v>29.86</v>
      </c>
    </row>
    <row r="28" spans="1:12" x14ac:dyDescent="0.2">
      <c r="A28" s="1">
        <v>19.27</v>
      </c>
      <c r="F28" cm="1">
        <f t="array" aca="1" ref="F28" ca="1">INDEX($A$2:$A$101,RANDBETWEEN(1,100))</f>
        <v>31.66</v>
      </c>
      <c r="G28">
        <f t="shared" ca="1" si="3"/>
        <v>29.923333333333346</v>
      </c>
      <c r="H28">
        <f t="shared" ca="1" si="0"/>
        <v>29.95</v>
      </c>
      <c r="J28">
        <v>27</v>
      </c>
      <c r="K28">
        <f t="shared" ca="1" si="1"/>
        <v>29.923333333333346</v>
      </c>
      <c r="L28">
        <f t="shared" ca="1" si="2"/>
        <v>29.95</v>
      </c>
    </row>
    <row r="29" spans="1:12" x14ac:dyDescent="0.2">
      <c r="A29" s="1">
        <v>38.22</v>
      </c>
      <c r="F29" cm="1">
        <f t="array" aca="1" ref="F29" ca="1">INDEX($A$2:$A$101,RANDBETWEEN(1,100))</f>
        <v>39.049999999999997</v>
      </c>
      <c r="G29">
        <f t="shared" ca="1" si="3"/>
        <v>30.021351351351363</v>
      </c>
      <c r="H29">
        <f t="shared" ca="1" si="0"/>
        <v>29.86</v>
      </c>
      <c r="J29">
        <v>28</v>
      </c>
      <c r="K29">
        <f t="shared" ca="1" si="1"/>
        <v>30.021351351351363</v>
      </c>
      <c r="L29">
        <f t="shared" ca="1" si="2"/>
        <v>29.86</v>
      </c>
    </row>
    <row r="30" spans="1:12" x14ac:dyDescent="0.2">
      <c r="A30" s="1">
        <v>25.91</v>
      </c>
      <c r="F30" cm="1">
        <f t="array" aca="1" ref="F30" ca="1">INDEX($A$2:$A$101,RANDBETWEEN(1,100))</f>
        <v>18.2</v>
      </c>
      <c r="G30">
        <f t="shared" ca="1" si="3"/>
        <v>29.998904109589056</v>
      </c>
      <c r="H30">
        <f t="shared" ca="1" si="0"/>
        <v>29.85</v>
      </c>
      <c r="J30">
        <v>29</v>
      </c>
      <c r="K30">
        <f t="shared" ca="1" si="1"/>
        <v>29.998904109589056</v>
      </c>
      <c r="L30">
        <f t="shared" ca="1" si="2"/>
        <v>29.85</v>
      </c>
    </row>
    <row r="31" spans="1:12" x14ac:dyDescent="0.2">
      <c r="A31" s="1">
        <v>22.18</v>
      </c>
      <c r="F31" cm="1">
        <f t="array" aca="1" ref="F31" ca="1">INDEX($A$2:$A$101,RANDBETWEEN(1,100))</f>
        <v>34.479999999999997</v>
      </c>
      <c r="G31">
        <f t="shared" ca="1" si="3"/>
        <v>29.873194444444454</v>
      </c>
      <c r="H31">
        <f t="shared" ca="1" si="0"/>
        <v>29.86</v>
      </c>
      <c r="J31">
        <v>30</v>
      </c>
      <c r="K31">
        <f t="shared" ca="1" si="1"/>
        <v>29.873194444444454</v>
      </c>
      <c r="L31">
        <f t="shared" ca="1" si="2"/>
        <v>29.86</v>
      </c>
    </row>
    <row r="32" spans="1:12" x14ac:dyDescent="0.2">
      <c r="A32" s="1">
        <v>32.24</v>
      </c>
      <c r="F32" cm="1">
        <f t="array" aca="1" ref="F32" ca="1">INDEX($A$2:$A$101,RANDBETWEEN(1,100))</f>
        <v>42.95</v>
      </c>
      <c r="G32">
        <f t="shared" ca="1" si="3"/>
        <v>30.037605633802823</v>
      </c>
      <c r="H32">
        <f t="shared" ca="1" si="0"/>
        <v>29.85</v>
      </c>
      <c r="J32">
        <v>31</v>
      </c>
      <c r="K32">
        <f t="shared" ca="1" si="1"/>
        <v>30.037605633802823</v>
      </c>
      <c r="L32">
        <f t="shared" ca="1" si="2"/>
        <v>29.85</v>
      </c>
    </row>
    <row r="33" spans="1:12" x14ac:dyDescent="0.2">
      <c r="A33" s="1">
        <v>34.99</v>
      </c>
      <c r="F33" cm="1">
        <f t="array" aca="1" ref="F33" ca="1">INDEX($A$2:$A$101,RANDBETWEEN(1,100))</f>
        <v>21.01</v>
      </c>
      <c r="G33">
        <f t="shared" ca="1" si="3"/>
        <v>29.974142857142866</v>
      </c>
      <c r="H33">
        <f t="shared" ca="1" si="0"/>
        <v>29.84</v>
      </c>
      <c r="J33">
        <v>32</v>
      </c>
      <c r="K33">
        <f t="shared" ca="1" si="1"/>
        <v>29.974142857142866</v>
      </c>
      <c r="L33">
        <f t="shared" ca="1" si="2"/>
        <v>29.84</v>
      </c>
    </row>
    <row r="34" spans="1:12" x14ac:dyDescent="0.2">
      <c r="A34" s="1">
        <v>29.84</v>
      </c>
      <c r="F34" cm="1">
        <f t="array" aca="1" ref="F34" ca="1">INDEX($A$2:$A$101,RANDBETWEEN(1,100))</f>
        <v>30.04</v>
      </c>
      <c r="G34">
        <f t="shared" ca="1" si="3"/>
        <v>29.78608695652175</v>
      </c>
      <c r="H34">
        <f t="shared" ca="1" si="0"/>
        <v>29.85</v>
      </c>
      <c r="J34">
        <v>33</v>
      </c>
      <c r="K34">
        <f t="shared" ca="1" si="1"/>
        <v>29.78608695652175</v>
      </c>
      <c r="L34">
        <f t="shared" ca="1" si="2"/>
        <v>29.85</v>
      </c>
    </row>
    <row r="35" spans="1:12" x14ac:dyDescent="0.2">
      <c r="A35" s="1">
        <v>33.090000000000003</v>
      </c>
      <c r="F35" cm="1">
        <f t="array" aca="1" ref="F35" ca="1">INDEX($A$2:$A$101,RANDBETWEEN(1,100))</f>
        <v>34.42</v>
      </c>
      <c r="G35">
        <f t="shared" ca="1" si="3"/>
        <v>29.915147058823539</v>
      </c>
      <c r="H35">
        <f t="shared" ca="1" si="0"/>
        <v>29.84</v>
      </c>
      <c r="J35">
        <v>34</v>
      </c>
      <c r="K35">
        <f t="shared" ca="1" si="1"/>
        <v>29.915147058823539</v>
      </c>
      <c r="L35">
        <f t="shared" ca="1" si="2"/>
        <v>29.84</v>
      </c>
    </row>
    <row r="36" spans="1:12" x14ac:dyDescent="0.2">
      <c r="A36" s="1">
        <v>31.28</v>
      </c>
      <c r="F36" cm="1">
        <f t="array" aca="1" ref="F36" ca="1">INDEX($A$2:$A$101,RANDBETWEEN(1,100))</f>
        <v>27.01</v>
      </c>
      <c r="G36">
        <f t="shared" ca="1" si="3"/>
        <v>29.913283582089562</v>
      </c>
      <c r="H36">
        <f t="shared" ca="1" si="0"/>
        <v>29.785</v>
      </c>
      <c r="J36">
        <v>35</v>
      </c>
      <c r="K36">
        <f t="shared" ca="1" si="1"/>
        <v>29.913283582089562</v>
      </c>
      <c r="L36">
        <f t="shared" ca="1" si="2"/>
        <v>29.785</v>
      </c>
    </row>
    <row r="37" spans="1:12" x14ac:dyDescent="0.2">
      <c r="A37" s="1">
        <v>31.66</v>
      </c>
      <c r="F37" cm="1">
        <f t="array" aca="1" ref="F37" ca="1">INDEX($A$2:$A$101,RANDBETWEEN(1,100))</f>
        <v>22.71</v>
      </c>
      <c r="G37">
        <f t="shared" ca="1" si="3"/>
        <v>29.84500000000001</v>
      </c>
      <c r="H37">
        <f t="shared" ca="1" si="0"/>
        <v>29.84</v>
      </c>
      <c r="J37">
        <v>36</v>
      </c>
      <c r="K37">
        <f t="shared" ca="1" si="1"/>
        <v>29.84500000000001</v>
      </c>
      <c r="L37">
        <f t="shared" ca="1" si="2"/>
        <v>29.84</v>
      </c>
    </row>
    <row r="38" spans="1:12" x14ac:dyDescent="0.2">
      <c r="A38" s="1">
        <v>34.42</v>
      </c>
      <c r="F38" cm="1">
        <f t="array" aca="1" ref="F38" ca="1">INDEX($A$2:$A$101,RANDBETWEEN(1,100))</f>
        <v>21.8</v>
      </c>
      <c r="G38">
        <f t="shared" ca="1" si="3"/>
        <v>29.888615384615399</v>
      </c>
      <c r="H38">
        <f t="shared" ca="1" si="0"/>
        <v>29.85</v>
      </c>
      <c r="J38">
        <v>37</v>
      </c>
      <c r="K38">
        <f t="shared" ca="1" si="1"/>
        <v>29.888615384615399</v>
      </c>
      <c r="L38">
        <f t="shared" ca="1" si="2"/>
        <v>29.85</v>
      </c>
    </row>
    <row r="39" spans="1:12" x14ac:dyDescent="0.2">
      <c r="A39" s="1">
        <v>26.05</v>
      </c>
      <c r="F39" cm="1">
        <f t="array" aca="1" ref="F39" ca="1">INDEX($A$2:$A$101,RANDBETWEEN(1,100))</f>
        <v>28.97</v>
      </c>
      <c r="G39">
        <f t="shared" ca="1" si="3"/>
        <v>30.000781250000014</v>
      </c>
      <c r="H39">
        <f t="shared" ca="1" si="0"/>
        <v>29.86</v>
      </c>
      <c r="J39">
        <v>38</v>
      </c>
      <c r="K39">
        <f t="shared" ca="1" si="1"/>
        <v>30.000781250000014</v>
      </c>
      <c r="L39">
        <f t="shared" ca="1" si="2"/>
        <v>29.86</v>
      </c>
    </row>
    <row r="40" spans="1:12" x14ac:dyDescent="0.2">
      <c r="A40" s="1">
        <v>27.57</v>
      </c>
      <c r="F40" cm="1">
        <f t="array" aca="1" ref="F40" ca="1">INDEX($A$2:$A$101,RANDBETWEEN(1,100))</f>
        <v>28.97</v>
      </c>
      <c r="G40">
        <f t="shared" ca="1" si="3"/>
        <v>30.13095238095239</v>
      </c>
      <c r="H40">
        <f t="shared" ca="1" si="0"/>
        <v>29.95</v>
      </c>
      <c r="J40">
        <v>39</v>
      </c>
      <c r="K40">
        <f t="shared" ca="1" si="1"/>
        <v>30.13095238095239</v>
      </c>
      <c r="L40">
        <f t="shared" ca="1" si="2"/>
        <v>29.95</v>
      </c>
    </row>
    <row r="41" spans="1:12" x14ac:dyDescent="0.2">
      <c r="A41" s="1">
        <v>35.33</v>
      </c>
      <c r="F41" cm="1">
        <f t="array" aca="1" ref="F41" ca="1">INDEX($A$2:$A$101,RANDBETWEEN(1,100))</f>
        <v>27.01</v>
      </c>
      <c r="G41">
        <f t="shared" ca="1" si="3"/>
        <v>30.149677419354848</v>
      </c>
      <c r="H41">
        <f t="shared" ca="1" si="0"/>
        <v>30.04</v>
      </c>
      <c r="J41">
        <v>40</v>
      </c>
      <c r="K41">
        <f t="shared" ca="1" si="1"/>
        <v>30.149677419354848</v>
      </c>
      <c r="L41">
        <f t="shared" ca="1" si="2"/>
        <v>30.04</v>
      </c>
    </row>
    <row r="42" spans="1:12" x14ac:dyDescent="0.2">
      <c r="A42" s="1">
        <v>28.12</v>
      </c>
      <c r="F42" cm="1">
        <f t="array" aca="1" ref="F42" ca="1">INDEX($A$2:$A$101,RANDBETWEEN(1,100))</f>
        <v>30.22</v>
      </c>
      <c r="G42">
        <f t="shared" ca="1" si="3"/>
        <v>30.169016393442629</v>
      </c>
      <c r="H42">
        <f t="shared" ca="1" si="0"/>
        <v>30.13</v>
      </c>
      <c r="J42">
        <v>41</v>
      </c>
      <c r="K42">
        <f t="shared" ca="1" si="1"/>
        <v>30.169016393442629</v>
      </c>
      <c r="L42">
        <f t="shared" ca="1" si="2"/>
        <v>30.13</v>
      </c>
    </row>
    <row r="43" spans="1:12" x14ac:dyDescent="0.2">
      <c r="A43" s="1">
        <v>39.29</v>
      </c>
      <c r="F43" cm="1">
        <f t="array" aca="1" ref="F43" ca="1">INDEX($A$2:$A$101,RANDBETWEEN(1,100))</f>
        <v>29.86</v>
      </c>
      <c r="G43">
        <f t="shared" ca="1" si="3"/>
        <v>30.221666666666678</v>
      </c>
      <c r="H43">
        <f t="shared" ca="1" si="0"/>
        <v>30.04</v>
      </c>
      <c r="J43">
        <v>42</v>
      </c>
      <c r="K43">
        <f t="shared" ca="1" si="1"/>
        <v>30.221666666666678</v>
      </c>
      <c r="L43">
        <f t="shared" ca="1" si="2"/>
        <v>30.04</v>
      </c>
    </row>
    <row r="44" spans="1:12" x14ac:dyDescent="0.2">
      <c r="A44" s="1">
        <v>27.02</v>
      </c>
      <c r="F44" cm="1">
        <f t="array" aca="1" ref="F44" ca="1">INDEX($A$2:$A$101,RANDBETWEEN(1,100))</f>
        <v>34.97</v>
      </c>
      <c r="G44">
        <f t="shared" ca="1" si="3"/>
        <v>30.221694915254247</v>
      </c>
      <c r="H44">
        <f t="shared" ca="1" si="0"/>
        <v>30.295000000000002</v>
      </c>
      <c r="J44">
        <v>43</v>
      </c>
      <c r="K44">
        <f t="shared" ca="1" si="1"/>
        <v>30.221694915254247</v>
      </c>
      <c r="L44">
        <f t="shared" ca="1" si="2"/>
        <v>30.295000000000002</v>
      </c>
    </row>
    <row r="45" spans="1:12" x14ac:dyDescent="0.2">
      <c r="A45" s="1">
        <v>30.95</v>
      </c>
      <c r="F45" cm="1">
        <f t="array" aca="1" ref="F45" ca="1">INDEX($A$2:$A$101,RANDBETWEEN(1,100))</f>
        <v>39.049999999999997</v>
      </c>
      <c r="G45">
        <f t="shared" ca="1" si="3"/>
        <v>30.227931034482772</v>
      </c>
      <c r="H45">
        <f t="shared" ca="1" si="0"/>
        <v>30.04</v>
      </c>
      <c r="J45">
        <v>44</v>
      </c>
      <c r="K45">
        <f t="shared" ca="1" si="1"/>
        <v>30.227931034482772</v>
      </c>
      <c r="L45">
        <f t="shared" ca="1" si="2"/>
        <v>30.04</v>
      </c>
    </row>
    <row r="46" spans="1:12" x14ac:dyDescent="0.2">
      <c r="A46" s="1">
        <v>30.98</v>
      </c>
      <c r="F46" cm="1">
        <f t="array" aca="1" ref="F46" ca="1">INDEX($A$2:$A$101,RANDBETWEEN(1,100))</f>
        <v>33.090000000000003</v>
      </c>
      <c r="G46">
        <f t="shared" ca="1" si="3"/>
        <v>30.144736842105271</v>
      </c>
      <c r="H46">
        <f t="shared" ca="1" si="0"/>
        <v>29.939999999999998</v>
      </c>
      <c r="J46">
        <v>45</v>
      </c>
      <c r="K46">
        <f t="shared" ca="1" si="1"/>
        <v>30.144736842105271</v>
      </c>
      <c r="L46">
        <f t="shared" ca="1" si="2"/>
        <v>29.939999999999998</v>
      </c>
    </row>
    <row r="47" spans="1:12" x14ac:dyDescent="0.2">
      <c r="A47" s="1">
        <v>28.97</v>
      </c>
      <c r="F47" cm="1">
        <f t="array" aca="1" ref="F47" ca="1">INDEX($A$2:$A$101,RANDBETWEEN(1,100))</f>
        <v>42</v>
      </c>
      <c r="G47">
        <f t="shared" ca="1" si="3"/>
        <v>29.985714285714295</v>
      </c>
      <c r="H47">
        <f t="shared" ca="1" si="0"/>
        <v>29.84</v>
      </c>
      <c r="J47">
        <v>46</v>
      </c>
      <c r="K47">
        <f t="shared" ca="1" si="1"/>
        <v>29.985714285714295</v>
      </c>
      <c r="L47">
        <f t="shared" ca="1" si="2"/>
        <v>29.84</v>
      </c>
    </row>
    <row r="48" spans="1:12" x14ac:dyDescent="0.2">
      <c r="A48" s="1">
        <v>31.55</v>
      </c>
      <c r="F48" cm="1">
        <f t="array" aca="1" ref="F48" ca="1">INDEX($A$2:$A$101,RANDBETWEEN(1,100))</f>
        <v>31.66</v>
      </c>
      <c r="G48">
        <f t="shared" ca="1" si="3"/>
        <v>29.929272727272739</v>
      </c>
      <c r="H48">
        <f t="shared" ca="1" si="0"/>
        <v>29.785</v>
      </c>
      <c r="J48">
        <v>47</v>
      </c>
      <c r="K48">
        <f t="shared" ca="1" si="1"/>
        <v>29.929272727272739</v>
      </c>
      <c r="L48">
        <f t="shared" ca="1" si="2"/>
        <v>29.785</v>
      </c>
    </row>
    <row r="49" spans="1:12" x14ac:dyDescent="0.2">
      <c r="A49" s="1">
        <v>21.23</v>
      </c>
      <c r="F49" cm="1">
        <f t="array" aca="1" ref="F49" ca="1">INDEX($A$2:$A$101,RANDBETWEEN(1,100))</f>
        <v>29.84</v>
      </c>
      <c r="G49">
        <f t="shared" ca="1" si="3"/>
        <v>29.705740740740751</v>
      </c>
      <c r="H49">
        <f t="shared" ca="1" si="0"/>
        <v>29.73</v>
      </c>
      <c r="J49">
        <v>48</v>
      </c>
      <c r="K49">
        <f t="shared" ca="1" si="1"/>
        <v>29.705740740740751</v>
      </c>
      <c r="L49">
        <f t="shared" ca="1" si="2"/>
        <v>29.73</v>
      </c>
    </row>
    <row r="50" spans="1:12" x14ac:dyDescent="0.2">
      <c r="A50" s="1">
        <v>30.63</v>
      </c>
      <c r="F50" cm="1">
        <f t="array" aca="1" ref="F50" ca="1">INDEX($A$2:$A$101,RANDBETWEEN(1,100))</f>
        <v>29.04</v>
      </c>
      <c r="G50">
        <f t="shared" ca="1" si="3"/>
        <v>29.66886792452831</v>
      </c>
      <c r="H50">
        <f t="shared" ca="1" si="0"/>
        <v>29.555</v>
      </c>
      <c r="J50">
        <v>49</v>
      </c>
      <c r="K50">
        <f t="shared" ca="1" si="1"/>
        <v>29.66886792452831</v>
      </c>
      <c r="L50">
        <f t="shared" ca="1" si="2"/>
        <v>29.555</v>
      </c>
    </row>
    <row r="51" spans="1:12" x14ac:dyDescent="0.2">
      <c r="A51" s="1">
        <v>26.01</v>
      </c>
      <c r="F51" cm="1">
        <f t="array" aca="1" ref="F51" ca="1">INDEX($A$2:$A$101,RANDBETWEEN(1,100))</f>
        <v>38.22</v>
      </c>
      <c r="G51">
        <f t="shared" ca="1" si="3"/>
        <v>29.665576923076934</v>
      </c>
      <c r="H51">
        <f t="shared" ca="1" si="0"/>
        <v>29.73</v>
      </c>
      <c r="J51">
        <v>50</v>
      </c>
      <c r="K51">
        <f t="shared" ca="1" si="1"/>
        <v>29.665576923076934</v>
      </c>
      <c r="L51">
        <f t="shared" ca="1" si="2"/>
        <v>29.73</v>
      </c>
    </row>
    <row r="52" spans="1:12" x14ac:dyDescent="0.2">
      <c r="A52" s="1">
        <v>22.93</v>
      </c>
      <c r="F52" cm="1">
        <f t="array" aca="1" ref="F52" ca="1">INDEX($A$2:$A$101,RANDBETWEEN(1,100))</f>
        <v>22.18</v>
      </c>
      <c r="G52">
        <f t="shared" ca="1" si="3"/>
        <v>29.677843137254914</v>
      </c>
      <c r="H52">
        <f t="shared" ca="1" si="0"/>
        <v>29.555</v>
      </c>
      <c r="J52">
        <v>51</v>
      </c>
      <c r="K52">
        <f t="shared" ca="1" si="1"/>
        <v>29.677843137254914</v>
      </c>
      <c r="L52">
        <f t="shared" ca="1" si="2"/>
        <v>29.555</v>
      </c>
    </row>
    <row r="53" spans="1:12" x14ac:dyDescent="0.2">
      <c r="A53" s="1">
        <v>24.65</v>
      </c>
      <c r="F53" cm="1">
        <f t="array" aca="1" ref="F53" ca="1">INDEX($A$2:$A$101,RANDBETWEEN(1,100))</f>
        <v>36.01</v>
      </c>
      <c r="G53">
        <f t="shared" ca="1" si="3"/>
        <v>29.507000000000009</v>
      </c>
      <c r="H53">
        <f t="shared" ca="1" si="0"/>
        <v>29.73</v>
      </c>
      <c r="J53">
        <v>52</v>
      </c>
      <c r="K53">
        <f t="shared" ca="1" si="1"/>
        <v>29.507000000000009</v>
      </c>
      <c r="L53">
        <f t="shared" ca="1" si="2"/>
        <v>29.73</v>
      </c>
    </row>
    <row r="54" spans="1:12" x14ac:dyDescent="0.2">
      <c r="A54" s="1">
        <v>23.62</v>
      </c>
      <c r="F54" cm="1">
        <f t="array" aca="1" ref="F54" ca="1">INDEX($A$2:$A$101,RANDBETWEEN(1,100))</f>
        <v>26.93</v>
      </c>
      <c r="G54">
        <f t="shared" ca="1" si="3"/>
        <v>29.656530612244904</v>
      </c>
      <c r="H54">
        <f t="shared" ca="1" si="0"/>
        <v>29.555</v>
      </c>
      <c r="J54">
        <v>53</v>
      </c>
      <c r="K54">
        <f t="shared" ca="1" si="1"/>
        <v>29.656530612244904</v>
      </c>
      <c r="L54">
        <f t="shared" ca="1" si="2"/>
        <v>29.555</v>
      </c>
    </row>
    <row r="55" spans="1:12" x14ac:dyDescent="0.2">
      <c r="A55" s="1">
        <v>36.75</v>
      </c>
      <c r="F55" cm="1">
        <f t="array" aca="1" ref="F55" ca="1">INDEX($A$2:$A$101,RANDBETWEEN(1,100))</f>
        <v>33.83</v>
      </c>
      <c r="G55">
        <f t="shared" ca="1" si="3"/>
        <v>29.52416666666667</v>
      </c>
      <c r="H55">
        <f t="shared" ca="1" si="0"/>
        <v>29.73</v>
      </c>
      <c r="J55">
        <v>54</v>
      </c>
      <c r="K55">
        <f t="shared" ca="1" si="1"/>
        <v>29.52416666666667</v>
      </c>
      <c r="L55">
        <f t="shared" ca="1" si="2"/>
        <v>29.73</v>
      </c>
    </row>
    <row r="56" spans="1:12" x14ac:dyDescent="0.2">
      <c r="A56" s="1">
        <v>34.25</v>
      </c>
      <c r="F56" cm="1">
        <f t="array" aca="1" ref="F56" ca="1">INDEX($A$2:$A$101,RANDBETWEEN(1,100))</f>
        <v>26.81</v>
      </c>
      <c r="G56">
        <f t="shared" ca="1" si="3"/>
        <v>29.57936170212766</v>
      </c>
      <c r="H56">
        <f t="shared" ca="1" si="0"/>
        <v>29.555</v>
      </c>
      <c r="J56">
        <v>55</v>
      </c>
      <c r="K56">
        <f t="shared" ca="1" si="1"/>
        <v>29.57936170212766</v>
      </c>
      <c r="L56">
        <f t="shared" ca="1" si="2"/>
        <v>29.555</v>
      </c>
    </row>
    <row r="57" spans="1:12" x14ac:dyDescent="0.2">
      <c r="A57" s="1">
        <v>37.14</v>
      </c>
      <c r="F57" cm="1">
        <f t="array" aca="1" ref="F57" ca="1">INDEX($A$2:$A$101,RANDBETWEEN(1,100))</f>
        <v>34.42</v>
      </c>
      <c r="G57">
        <f t="shared" ca="1" si="3"/>
        <v>29.486956521739131</v>
      </c>
      <c r="H57">
        <f t="shared" ca="1" si="0"/>
        <v>29.73</v>
      </c>
      <c r="J57">
        <v>56</v>
      </c>
      <c r="K57">
        <f t="shared" ca="1" si="1"/>
        <v>29.486956521739131</v>
      </c>
      <c r="L57">
        <f t="shared" ca="1" si="2"/>
        <v>29.73</v>
      </c>
    </row>
    <row r="58" spans="1:12" x14ac:dyDescent="0.2">
      <c r="A58" s="1">
        <v>28.96</v>
      </c>
      <c r="F58" cm="1">
        <f t="array" aca="1" ref="F58" ca="1">INDEX($A$2:$A$101,RANDBETWEEN(1,100))</f>
        <v>23.58</v>
      </c>
      <c r="G58">
        <f t="shared" ca="1" si="3"/>
        <v>29.546444444444443</v>
      </c>
      <c r="H58">
        <f t="shared" ca="1" si="0"/>
        <v>29.555</v>
      </c>
      <c r="J58">
        <v>57</v>
      </c>
      <c r="K58">
        <f t="shared" ca="1" si="1"/>
        <v>29.546444444444443</v>
      </c>
      <c r="L58">
        <f t="shared" ca="1" si="2"/>
        <v>29.555</v>
      </c>
    </row>
    <row r="59" spans="1:12" x14ac:dyDescent="0.2">
      <c r="A59" s="1">
        <v>29.38</v>
      </c>
      <c r="F59" cm="1">
        <f t="array" aca="1" ref="F59" ca="1">INDEX($A$2:$A$101,RANDBETWEEN(1,100))</f>
        <v>21.8</v>
      </c>
      <c r="G59">
        <f t="shared" ca="1" si="3"/>
        <v>29.43568181818182</v>
      </c>
      <c r="H59">
        <f t="shared" ca="1" si="0"/>
        <v>29.73</v>
      </c>
      <c r="J59">
        <v>58</v>
      </c>
      <c r="K59">
        <f t="shared" ca="1" si="1"/>
        <v>29.43568181818182</v>
      </c>
      <c r="L59">
        <f t="shared" ca="1" si="2"/>
        <v>29.73</v>
      </c>
    </row>
    <row r="60" spans="1:12" x14ac:dyDescent="0.2">
      <c r="A60" s="1">
        <v>29.59</v>
      </c>
      <c r="F60" cm="1">
        <f t="array" aca="1" ref="F60" ca="1">INDEX($A$2:$A$101,RANDBETWEEN(1,100))</f>
        <v>36.01</v>
      </c>
      <c r="G60">
        <f t="shared" ca="1" si="3"/>
        <v>29.571860465116277</v>
      </c>
      <c r="H60">
        <f t="shared" ca="1" si="0"/>
        <v>29.884999999999998</v>
      </c>
      <c r="J60">
        <v>59</v>
      </c>
      <c r="K60">
        <f t="shared" ca="1" si="1"/>
        <v>29.571860465116277</v>
      </c>
      <c r="L60">
        <f t="shared" ca="1" si="2"/>
        <v>29.884999999999998</v>
      </c>
    </row>
    <row r="61" spans="1:12" x14ac:dyDescent="0.2">
      <c r="A61" s="1">
        <v>29.99</v>
      </c>
      <c r="F61" cm="1">
        <f t="array" aca="1" ref="F61" ca="1">INDEX($A$2:$A$101,RANDBETWEEN(1,100))</f>
        <v>21.73</v>
      </c>
      <c r="G61">
        <f t="shared" ca="1" si="3"/>
        <v>29.75690476190476</v>
      </c>
      <c r="H61">
        <f t="shared" ca="1" si="0"/>
        <v>29.73</v>
      </c>
      <c r="J61">
        <v>60</v>
      </c>
      <c r="K61">
        <f t="shared" ca="1" si="1"/>
        <v>29.75690476190476</v>
      </c>
      <c r="L61">
        <f t="shared" ca="1" si="2"/>
        <v>29.73</v>
      </c>
    </row>
    <row r="62" spans="1:12" x14ac:dyDescent="0.2">
      <c r="A62" s="1">
        <v>28.42</v>
      </c>
      <c r="F62" cm="1">
        <f t="array" aca="1" ref="F62" ca="1">INDEX($A$2:$A$101,RANDBETWEEN(1,100))</f>
        <v>22.04</v>
      </c>
      <c r="G62">
        <f t="shared" ca="1" si="3"/>
        <v>29.604390243902444</v>
      </c>
      <c r="H62">
        <f t="shared" ca="1" si="0"/>
        <v>29.884999999999998</v>
      </c>
      <c r="J62">
        <v>61</v>
      </c>
      <c r="K62">
        <f t="shared" ca="1" si="1"/>
        <v>29.604390243902444</v>
      </c>
      <c r="L62">
        <f t="shared" ca="1" si="2"/>
        <v>29.884999999999998</v>
      </c>
    </row>
    <row r="63" spans="1:12" x14ac:dyDescent="0.2">
      <c r="A63" s="1">
        <v>33.83</v>
      </c>
      <c r="F63" cm="1">
        <f t="array" aca="1" ref="F63" ca="1">INDEX($A$2:$A$101,RANDBETWEEN(1,100))</f>
        <v>38.409999999999997</v>
      </c>
      <c r="G63">
        <f t="shared" ca="1" si="3"/>
        <v>29.801250000000003</v>
      </c>
      <c r="H63">
        <f t="shared" ca="1" si="0"/>
        <v>30.04</v>
      </c>
      <c r="J63">
        <v>62</v>
      </c>
      <c r="K63">
        <f t="shared" ca="1" si="1"/>
        <v>29.801250000000003</v>
      </c>
      <c r="L63">
        <f t="shared" ca="1" si="2"/>
        <v>30.04</v>
      </c>
    </row>
    <row r="64" spans="1:12" x14ac:dyDescent="0.2">
      <c r="A64" s="1">
        <v>22.71</v>
      </c>
      <c r="F64" cm="1">
        <f t="array" aca="1" ref="F64" ca="1">INDEX($A$2:$A$101,RANDBETWEEN(1,100))</f>
        <v>27.27</v>
      </c>
      <c r="G64">
        <f t="shared" ca="1" si="3"/>
        <v>30.000256410256416</v>
      </c>
      <c r="H64">
        <f t="shared" ca="1" si="0"/>
        <v>29.884999999999998</v>
      </c>
      <c r="J64">
        <v>63</v>
      </c>
      <c r="K64">
        <f t="shared" ca="1" si="1"/>
        <v>30.000256410256416</v>
      </c>
      <c r="L64">
        <f t="shared" ca="1" si="2"/>
        <v>29.884999999999998</v>
      </c>
    </row>
    <row r="65" spans="1:12" x14ac:dyDescent="0.2">
      <c r="A65" s="1">
        <v>35.630000000000003</v>
      </c>
      <c r="F65" cm="1">
        <f t="array" aca="1" ref="F65" ca="1">INDEX($A$2:$A$101,RANDBETWEEN(1,100))</f>
        <v>35.75</v>
      </c>
      <c r="G65">
        <f t="shared" ca="1" si="3"/>
        <v>29.778947368421058</v>
      </c>
      <c r="H65">
        <f t="shared" ca="1" si="0"/>
        <v>30.04</v>
      </c>
      <c r="J65">
        <v>64</v>
      </c>
      <c r="K65">
        <f t="shared" ca="1" si="1"/>
        <v>29.778947368421058</v>
      </c>
      <c r="L65">
        <f t="shared" ca="1" si="2"/>
        <v>30.04</v>
      </c>
    </row>
    <row r="66" spans="1:12" x14ac:dyDescent="0.2">
      <c r="A66" s="1">
        <v>31.62</v>
      </c>
      <c r="F66" cm="1">
        <f t="array" aca="1" ref="F66" ca="1">INDEX($A$2:$A$101,RANDBETWEEN(1,100))</f>
        <v>21.23</v>
      </c>
      <c r="G66">
        <f t="shared" ca="1" si="3"/>
        <v>29.846756756756754</v>
      </c>
      <c r="H66">
        <f t="shared" ca="1" si="0"/>
        <v>29.884999999999998</v>
      </c>
      <c r="J66">
        <v>65</v>
      </c>
      <c r="K66">
        <f t="shared" ca="1" si="1"/>
        <v>29.846756756756754</v>
      </c>
      <c r="L66">
        <f t="shared" ca="1" si="2"/>
        <v>29.884999999999998</v>
      </c>
    </row>
    <row r="67" spans="1:12" x14ac:dyDescent="0.2">
      <c r="A67" s="1">
        <v>32.75</v>
      </c>
      <c r="F67" cm="1">
        <f t="array" aca="1" ref="F67" ca="1">INDEX($A$2:$A$101,RANDBETWEEN(1,100))</f>
        <v>23.64</v>
      </c>
      <c r="G67">
        <f t="shared" ca="1" si="3"/>
        <v>29.682777777777769</v>
      </c>
      <c r="H67">
        <f t="shared" ref="H67:H101" ca="1" si="4">MEDIAN(F67:F166)</f>
        <v>30.04</v>
      </c>
      <c r="J67">
        <v>66</v>
      </c>
      <c r="K67">
        <f t="shared" ref="K67:K101" ca="1" si="5">G67</f>
        <v>29.682777777777769</v>
      </c>
      <c r="L67">
        <f t="shared" ref="L67:L101" ca="1" si="6">H67</f>
        <v>30.04</v>
      </c>
    </row>
    <row r="68" spans="1:12" x14ac:dyDescent="0.2">
      <c r="A68" s="1">
        <v>31.39</v>
      </c>
      <c r="F68" cm="1">
        <f t="array" aca="1" ref="F68" ca="1">INDEX($A$2:$A$101,RANDBETWEEN(1,100))</f>
        <v>33.81</v>
      </c>
      <c r="G68">
        <f t="shared" ref="G68:G101" ca="1" si="7">AVERAGE(F67:F166)</f>
        <v>29.924285714285705</v>
      </c>
      <c r="H68">
        <f t="shared" ca="1" si="4"/>
        <v>30.295000000000002</v>
      </c>
      <c r="J68">
        <v>67</v>
      </c>
      <c r="K68">
        <f t="shared" ca="1" si="5"/>
        <v>29.924285714285705</v>
      </c>
      <c r="L68">
        <f t="shared" ca="1" si="6"/>
        <v>30.295000000000002</v>
      </c>
    </row>
    <row r="69" spans="1:12" x14ac:dyDescent="0.2">
      <c r="A69" s="1">
        <v>27.27</v>
      </c>
      <c r="F69" cm="1">
        <f t="array" aca="1" ref="F69" ca="1">INDEX($A$2:$A$101,RANDBETWEEN(1,100))</f>
        <v>28.12</v>
      </c>
      <c r="G69">
        <f t="shared" ca="1" si="7"/>
        <v>30.109117647058813</v>
      </c>
      <c r="H69">
        <f t="shared" ca="1" si="4"/>
        <v>30.04</v>
      </c>
      <c r="J69">
        <v>68</v>
      </c>
      <c r="K69">
        <f t="shared" ca="1" si="5"/>
        <v>30.109117647058813</v>
      </c>
      <c r="L69">
        <f t="shared" ca="1" si="6"/>
        <v>30.04</v>
      </c>
    </row>
    <row r="70" spans="1:12" x14ac:dyDescent="0.2">
      <c r="A70" s="1">
        <v>30.55</v>
      </c>
      <c r="F70" cm="1">
        <f t="array" aca="1" ref="F70" ca="1">INDEX($A$2:$A$101,RANDBETWEEN(1,100))</f>
        <v>35.630000000000003</v>
      </c>
      <c r="G70">
        <f t="shared" ca="1" si="7"/>
        <v>29.996969696969689</v>
      </c>
      <c r="H70">
        <f t="shared" ca="1" si="4"/>
        <v>30.295000000000002</v>
      </c>
      <c r="J70">
        <v>69</v>
      </c>
      <c r="K70">
        <f t="shared" ca="1" si="5"/>
        <v>29.996969696969689</v>
      </c>
      <c r="L70">
        <f t="shared" ca="1" si="6"/>
        <v>30.295000000000002</v>
      </c>
    </row>
    <row r="71" spans="1:12" x14ac:dyDescent="0.2">
      <c r="A71" s="1">
        <v>35.14</v>
      </c>
      <c r="F71" cm="1">
        <f t="array" aca="1" ref="F71" ca="1">INDEX($A$2:$A$101,RANDBETWEEN(1,100))</f>
        <v>21.23</v>
      </c>
      <c r="G71">
        <f t="shared" ca="1" si="7"/>
        <v>30.055624999999992</v>
      </c>
      <c r="H71">
        <f t="shared" ca="1" si="4"/>
        <v>30.04</v>
      </c>
      <c r="J71">
        <v>70</v>
      </c>
      <c r="K71">
        <f t="shared" ca="1" si="5"/>
        <v>30.055624999999992</v>
      </c>
      <c r="L71">
        <f t="shared" ca="1" si="6"/>
        <v>30.04</v>
      </c>
    </row>
    <row r="72" spans="1:12" x14ac:dyDescent="0.2">
      <c r="A72" s="1">
        <v>29.86</v>
      </c>
      <c r="F72" cm="1">
        <f t="array" aca="1" ref="F72" ca="1">INDEX($A$2:$A$101,RANDBETWEEN(1,100))</f>
        <v>23.64</v>
      </c>
      <c r="G72">
        <f t="shared" ca="1" si="7"/>
        <v>29.875806451612895</v>
      </c>
      <c r="H72">
        <f t="shared" ca="1" si="4"/>
        <v>30.295000000000002</v>
      </c>
      <c r="J72">
        <v>71</v>
      </c>
      <c r="K72">
        <f t="shared" ca="1" si="5"/>
        <v>29.875806451612895</v>
      </c>
      <c r="L72">
        <f t="shared" ca="1" si="6"/>
        <v>30.295000000000002</v>
      </c>
    </row>
    <row r="73" spans="1:12" x14ac:dyDescent="0.2">
      <c r="A73" s="1">
        <v>32.18</v>
      </c>
      <c r="F73" cm="1">
        <f t="array" aca="1" ref="F73" ca="1">INDEX($A$2:$A$101,RANDBETWEEN(1,100))</f>
        <v>23.64</v>
      </c>
      <c r="G73">
        <f t="shared" ca="1" si="7"/>
        <v>30.163999999999994</v>
      </c>
      <c r="H73">
        <f t="shared" ca="1" si="4"/>
        <v>30.55</v>
      </c>
      <c r="J73">
        <v>72</v>
      </c>
      <c r="K73">
        <f t="shared" ca="1" si="5"/>
        <v>30.163999999999994</v>
      </c>
      <c r="L73">
        <f t="shared" ca="1" si="6"/>
        <v>30.55</v>
      </c>
    </row>
    <row r="74" spans="1:12" x14ac:dyDescent="0.2">
      <c r="A74" s="1">
        <v>30.08</v>
      </c>
      <c r="F74" cm="1">
        <f t="array" aca="1" ref="F74" ca="1">INDEX($A$2:$A$101,RANDBETWEEN(1,100))</f>
        <v>27.38</v>
      </c>
      <c r="G74">
        <f t="shared" ca="1" si="7"/>
        <v>30.388965517241374</v>
      </c>
      <c r="H74">
        <f t="shared" ca="1" si="4"/>
        <v>30.734999999999999</v>
      </c>
      <c r="J74">
        <v>73</v>
      </c>
      <c r="K74">
        <f t="shared" ca="1" si="5"/>
        <v>30.388965517241374</v>
      </c>
      <c r="L74">
        <f t="shared" ca="1" si="6"/>
        <v>30.734999999999999</v>
      </c>
    </row>
    <row r="75" spans="1:12" x14ac:dyDescent="0.2">
      <c r="A75" s="1">
        <v>27.15</v>
      </c>
      <c r="F75" cm="1">
        <f t="array" aca="1" ref="F75" ca="1">INDEX($A$2:$A$101,RANDBETWEEN(1,100))</f>
        <v>21.23</v>
      </c>
      <c r="G75">
        <f t="shared" ca="1" si="7"/>
        <v>30.629999999999992</v>
      </c>
      <c r="H75">
        <f t="shared" ca="1" si="4"/>
        <v>30.92</v>
      </c>
      <c r="J75">
        <v>74</v>
      </c>
      <c r="K75">
        <f t="shared" ca="1" si="5"/>
        <v>30.629999999999992</v>
      </c>
      <c r="L75">
        <f t="shared" ca="1" si="6"/>
        <v>30.92</v>
      </c>
    </row>
    <row r="76" spans="1:12" x14ac:dyDescent="0.2">
      <c r="A76" s="1">
        <v>42.95</v>
      </c>
      <c r="F76" cm="1">
        <f t="array" aca="1" ref="F76" ca="1">INDEX($A$2:$A$101,RANDBETWEEN(1,100))</f>
        <v>26.01</v>
      </c>
      <c r="G76">
        <f t="shared" ca="1" si="7"/>
        <v>30.750370370370366</v>
      </c>
      <c r="H76">
        <f t="shared" ca="1" si="4"/>
        <v>30.935000000000002</v>
      </c>
      <c r="J76">
        <v>75</v>
      </c>
      <c r="K76">
        <f t="shared" ca="1" si="5"/>
        <v>30.750370370370366</v>
      </c>
      <c r="L76">
        <f t="shared" ca="1" si="6"/>
        <v>30.935000000000002</v>
      </c>
    </row>
    <row r="77" spans="1:12" x14ac:dyDescent="0.2">
      <c r="A77" s="1">
        <v>33.56</v>
      </c>
      <c r="F77" cm="1">
        <f t="array" aca="1" ref="F77" ca="1">INDEX($A$2:$A$101,RANDBETWEEN(1,100))</f>
        <v>30.55</v>
      </c>
      <c r="G77">
        <f t="shared" ca="1" si="7"/>
        <v>31.116538461538457</v>
      </c>
      <c r="H77">
        <f t="shared" ca="1" si="4"/>
        <v>30.95</v>
      </c>
      <c r="J77">
        <v>76</v>
      </c>
      <c r="K77">
        <f t="shared" ca="1" si="5"/>
        <v>31.116538461538457</v>
      </c>
      <c r="L77">
        <f t="shared" ca="1" si="6"/>
        <v>30.95</v>
      </c>
    </row>
    <row r="78" spans="1:12" x14ac:dyDescent="0.2">
      <c r="A78" s="1">
        <v>27.77</v>
      </c>
      <c r="F78" cm="1">
        <f t="array" aca="1" ref="F78" ca="1">INDEX($A$2:$A$101,RANDBETWEEN(1,100))</f>
        <v>36.01</v>
      </c>
      <c r="G78">
        <f t="shared" ca="1" si="7"/>
        <v>31.320799999999995</v>
      </c>
      <c r="H78">
        <f t="shared" ca="1" si="4"/>
        <v>31.17</v>
      </c>
      <c r="J78">
        <v>77</v>
      </c>
      <c r="K78">
        <f t="shared" ca="1" si="5"/>
        <v>31.320799999999995</v>
      </c>
      <c r="L78">
        <f t="shared" ca="1" si="6"/>
        <v>31.17</v>
      </c>
    </row>
    <row r="79" spans="1:12" x14ac:dyDescent="0.2">
      <c r="A79" s="1">
        <v>35.049999999999997</v>
      </c>
      <c r="F79" cm="1">
        <f t="array" aca="1" ref="F79" ca="1">INDEX($A$2:$A$101,RANDBETWEEN(1,100))</f>
        <v>37.18</v>
      </c>
      <c r="G79">
        <f t="shared" ca="1" si="7"/>
        <v>31.352916666666658</v>
      </c>
      <c r="H79">
        <f t="shared" ca="1" si="4"/>
        <v>30.95</v>
      </c>
      <c r="J79">
        <v>78</v>
      </c>
      <c r="K79">
        <f t="shared" ca="1" si="5"/>
        <v>31.352916666666658</v>
      </c>
      <c r="L79">
        <f t="shared" ca="1" si="6"/>
        <v>30.95</v>
      </c>
    </row>
    <row r="80" spans="1:12" x14ac:dyDescent="0.2">
      <c r="A80" s="1">
        <v>29.04</v>
      </c>
      <c r="F80" cm="1">
        <f t="array" aca="1" ref="F80" ca="1">INDEX($A$2:$A$101,RANDBETWEEN(1,100))</f>
        <v>34.97</v>
      </c>
      <c r="G80">
        <f t="shared" ca="1" si="7"/>
        <v>31.150434782608688</v>
      </c>
      <c r="H80">
        <f t="shared" ca="1" si="4"/>
        <v>30.935000000000002</v>
      </c>
      <c r="J80">
        <v>79</v>
      </c>
      <c r="K80">
        <f t="shared" ca="1" si="5"/>
        <v>31.150434782608688</v>
      </c>
      <c r="L80">
        <f t="shared" ca="1" si="6"/>
        <v>30.935000000000002</v>
      </c>
    </row>
    <row r="81" spans="1:12" x14ac:dyDescent="0.2">
      <c r="A81" s="1">
        <v>33.97</v>
      </c>
      <c r="F81" cm="1">
        <f t="array" aca="1" ref="F81" ca="1">INDEX($A$2:$A$101,RANDBETWEEN(1,100))</f>
        <v>29.38</v>
      </c>
      <c r="G81">
        <f t="shared" ca="1" si="7"/>
        <v>30.876363636363635</v>
      </c>
      <c r="H81">
        <f t="shared" ca="1" si="4"/>
        <v>30.92</v>
      </c>
      <c r="J81">
        <v>80</v>
      </c>
      <c r="K81">
        <f t="shared" ca="1" si="5"/>
        <v>30.876363636363635</v>
      </c>
      <c r="L81">
        <f t="shared" ca="1" si="6"/>
        <v>30.92</v>
      </c>
    </row>
    <row r="82" spans="1:12" x14ac:dyDescent="0.2">
      <c r="A82" s="1">
        <v>22.67</v>
      </c>
      <c r="F82" cm="1">
        <f t="array" aca="1" ref="F82" ca="1">INDEX($A$2:$A$101,RANDBETWEEN(1,100))</f>
        <v>32.81</v>
      </c>
      <c r="G82">
        <f t="shared" ca="1" si="7"/>
        <v>30.681428571428569</v>
      </c>
      <c r="H82">
        <f t="shared" ca="1" si="4"/>
        <v>30.935000000000002</v>
      </c>
      <c r="J82">
        <v>81</v>
      </c>
      <c r="K82">
        <f t="shared" ca="1" si="5"/>
        <v>30.681428571428569</v>
      </c>
      <c r="L82">
        <f t="shared" ca="1" si="6"/>
        <v>30.935000000000002</v>
      </c>
    </row>
    <row r="83" spans="1:12" x14ac:dyDescent="0.2">
      <c r="A83" s="1">
        <v>21.73</v>
      </c>
      <c r="F83" cm="1">
        <f t="array" aca="1" ref="F83" ca="1">INDEX($A$2:$A$101,RANDBETWEEN(1,100))</f>
        <v>30.95</v>
      </c>
      <c r="G83">
        <f t="shared" ca="1" si="7"/>
        <v>30.746499999999997</v>
      </c>
      <c r="H83">
        <f t="shared" ca="1" si="4"/>
        <v>30.92</v>
      </c>
      <c r="J83">
        <v>82</v>
      </c>
      <c r="K83">
        <f t="shared" ca="1" si="5"/>
        <v>30.746499999999997</v>
      </c>
      <c r="L83">
        <f t="shared" ca="1" si="6"/>
        <v>30.92</v>
      </c>
    </row>
    <row r="84" spans="1:12" x14ac:dyDescent="0.2">
      <c r="A84" s="1">
        <v>29.59</v>
      </c>
      <c r="F84" cm="1">
        <f t="array" aca="1" ref="F84" ca="1">INDEX($A$2:$A$101,RANDBETWEEN(1,100))</f>
        <v>36.75</v>
      </c>
      <c r="G84">
        <f t="shared" ca="1" si="7"/>
        <v>30.6378947368421</v>
      </c>
      <c r="H84">
        <f t="shared" ca="1" si="4"/>
        <v>30.48</v>
      </c>
      <c r="J84">
        <v>83</v>
      </c>
      <c r="K84">
        <f t="shared" ca="1" si="5"/>
        <v>30.6378947368421</v>
      </c>
      <c r="L84">
        <f t="shared" ca="1" si="6"/>
        <v>30.48</v>
      </c>
    </row>
    <row r="85" spans="1:12" x14ac:dyDescent="0.2">
      <c r="A85" s="1">
        <v>25.23</v>
      </c>
      <c r="F85" cm="1">
        <f t="array" aca="1" ref="F85" ca="1">INDEX($A$2:$A$101,RANDBETWEEN(1,100))</f>
        <v>32.75</v>
      </c>
      <c r="G85">
        <f t="shared" ca="1" si="7"/>
        <v>30.620555555555558</v>
      </c>
      <c r="H85">
        <f t="shared" ca="1" si="4"/>
        <v>30.04</v>
      </c>
      <c r="J85">
        <v>84</v>
      </c>
      <c r="K85">
        <f t="shared" ca="1" si="5"/>
        <v>30.620555555555558</v>
      </c>
      <c r="L85">
        <f t="shared" ca="1" si="6"/>
        <v>30.04</v>
      </c>
    </row>
    <row r="86" spans="1:12" x14ac:dyDescent="0.2">
      <c r="A86" s="1">
        <v>23.3</v>
      </c>
      <c r="F86" cm="1">
        <f t="array" aca="1" ref="F86" ca="1">INDEX($A$2:$A$101,RANDBETWEEN(1,100))</f>
        <v>31.39</v>
      </c>
      <c r="G86">
        <f t="shared" ca="1" si="7"/>
        <v>30.260000000000005</v>
      </c>
      <c r="H86">
        <f t="shared" ca="1" si="4"/>
        <v>29.884999999999998</v>
      </c>
      <c r="J86">
        <v>85</v>
      </c>
      <c r="K86">
        <f t="shared" ca="1" si="5"/>
        <v>30.260000000000005</v>
      </c>
      <c r="L86">
        <f t="shared" ca="1" si="6"/>
        <v>29.884999999999998</v>
      </c>
    </row>
    <row r="87" spans="1:12" x14ac:dyDescent="0.2">
      <c r="A87" s="1">
        <v>34.909999999999997</v>
      </c>
      <c r="F87" cm="1">
        <f t="array" aca="1" ref="F87" ca="1">INDEX($A$2:$A$101,RANDBETWEEN(1,100))</f>
        <v>35.14</v>
      </c>
      <c r="G87">
        <f t="shared" ca="1" si="7"/>
        <v>30.104375000000005</v>
      </c>
      <c r="H87">
        <f t="shared" ca="1" si="4"/>
        <v>29.73</v>
      </c>
      <c r="J87">
        <v>86</v>
      </c>
      <c r="K87">
        <f t="shared" ca="1" si="5"/>
        <v>30.104375000000005</v>
      </c>
      <c r="L87">
        <f t="shared" ca="1" si="6"/>
        <v>29.73</v>
      </c>
    </row>
    <row r="88" spans="1:12" x14ac:dyDescent="0.2">
      <c r="A88" s="1">
        <v>29.73</v>
      </c>
      <c r="F88" cm="1">
        <f t="array" aca="1" ref="F88" ca="1">INDEX($A$2:$A$101,RANDBETWEEN(1,100))</f>
        <v>22.18</v>
      </c>
      <c r="G88">
        <f t="shared" ca="1" si="7"/>
        <v>30.018666666666672</v>
      </c>
      <c r="H88">
        <f t="shared" ca="1" si="4"/>
        <v>29.555</v>
      </c>
      <c r="J88">
        <v>87</v>
      </c>
      <c r="K88">
        <f t="shared" ca="1" si="5"/>
        <v>30.018666666666672</v>
      </c>
      <c r="L88">
        <f t="shared" ca="1" si="6"/>
        <v>29.555</v>
      </c>
    </row>
    <row r="89" spans="1:12" x14ac:dyDescent="0.2">
      <c r="A89" s="1">
        <v>34.9</v>
      </c>
      <c r="F89" cm="1">
        <f t="array" aca="1" ref="F89" ca="1">INDEX($A$2:$A$101,RANDBETWEEN(1,100))</f>
        <v>29.38</v>
      </c>
      <c r="G89">
        <f t="shared" ca="1" si="7"/>
        <v>29.652857142857151</v>
      </c>
      <c r="H89">
        <f t="shared" ca="1" si="4"/>
        <v>29.73</v>
      </c>
      <c r="J89">
        <v>88</v>
      </c>
      <c r="K89">
        <f t="shared" ca="1" si="5"/>
        <v>29.652857142857151</v>
      </c>
      <c r="L89">
        <f t="shared" ca="1" si="6"/>
        <v>29.73</v>
      </c>
    </row>
    <row r="90" spans="1:12" x14ac:dyDescent="0.2">
      <c r="A90" s="1">
        <v>26.93</v>
      </c>
      <c r="F90" cm="1">
        <f t="array" aca="1" ref="F90" ca="1">INDEX($A$2:$A$101,RANDBETWEEN(1,100))</f>
        <v>29.73</v>
      </c>
      <c r="G90">
        <f t="shared" ca="1" si="7"/>
        <v>30.227692307692312</v>
      </c>
      <c r="H90">
        <f t="shared" ca="1" si="4"/>
        <v>29.884999999999998</v>
      </c>
      <c r="J90">
        <v>89</v>
      </c>
      <c r="K90">
        <f t="shared" ca="1" si="5"/>
        <v>30.227692307692312</v>
      </c>
      <c r="L90">
        <f t="shared" ca="1" si="6"/>
        <v>29.884999999999998</v>
      </c>
    </row>
    <row r="91" spans="1:12" x14ac:dyDescent="0.2">
      <c r="A91" s="1">
        <v>21.8</v>
      </c>
      <c r="F91" cm="1">
        <f t="array" aca="1" ref="F91" ca="1">INDEX($A$2:$A$101,RANDBETWEEN(1,100))</f>
        <v>28.42</v>
      </c>
      <c r="G91">
        <f t="shared" ca="1" si="7"/>
        <v>30.298333333333336</v>
      </c>
      <c r="H91">
        <f t="shared" ca="1" si="4"/>
        <v>30.04</v>
      </c>
      <c r="J91">
        <v>90</v>
      </c>
      <c r="K91">
        <f t="shared" ca="1" si="5"/>
        <v>30.298333333333336</v>
      </c>
      <c r="L91">
        <f t="shared" ca="1" si="6"/>
        <v>30.04</v>
      </c>
    </row>
    <row r="92" spans="1:12" x14ac:dyDescent="0.2">
      <c r="A92" s="1">
        <v>37.18</v>
      </c>
      <c r="F92" cm="1">
        <f t="array" aca="1" ref="F92" ca="1">INDEX($A$2:$A$101,RANDBETWEEN(1,100))</f>
        <v>28.12</v>
      </c>
      <c r="G92">
        <f t="shared" ca="1" si="7"/>
        <v>30.35</v>
      </c>
      <c r="H92">
        <f t="shared" ca="1" si="4"/>
        <v>30.48</v>
      </c>
      <c r="J92">
        <v>91</v>
      </c>
      <c r="K92">
        <f t="shared" ca="1" si="5"/>
        <v>30.35</v>
      </c>
      <c r="L92">
        <f t="shared" ca="1" si="6"/>
        <v>30.48</v>
      </c>
    </row>
    <row r="93" spans="1:12" x14ac:dyDescent="0.2">
      <c r="A93" s="1">
        <v>27.77</v>
      </c>
      <c r="F93" cm="1">
        <f t="array" aca="1" ref="F93" ca="1">INDEX($A$2:$A$101,RANDBETWEEN(1,100))</f>
        <v>27.15</v>
      </c>
      <c r="G93">
        <f t="shared" ca="1" si="7"/>
        <v>30.542999999999996</v>
      </c>
      <c r="H93">
        <f t="shared" ca="1" si="4"/>
        <v>30.92</v>
      </c>
      <c r="J93">
        <v>92</v>
      </c>
      <c r="K93">
        <f t="shared" ca="1" si="5"/>
        <v>30.542999999999996</v>
      </c>
      <c r="L93">
        <f t="shared" ca="1" si="6"/>
        <v>30.92</v>
      </c>
    </row>
    <row r="94" spans="1:12" x14ac:dyDescent="0.2">
      <c r="A94" s="1">
        <v>29.04</v>
      </c>
      <c r="F94" cm="1">
        <f t="array" aca="1" ref="F94" ca="1">INDEX($A$2:$A$101,RANDBETWEEN(1,100))</f>
        <v>38.22</v>
      </c>
      <c r="G94">
        <f t="shared" ca="1" si="7"/>
        <v>30.812222222222218</v>
      </c>
      <c r="H94">
        <f t="shared" ca="1" si="4"/>
        <v>32.445</v>
      </c>
      <c r="J94">
        <v>93</v>
      </c>
      <c r="K94">
        <f t="shared" ca="1" si="5"/>
        <v>30.812222222222218</v>
      </c>
      <c r="L94">
        <f t="shared" ca="1" si="6"/>
        <v>32.445</v>
      </c>
    </row>
    <row r="95" spans="1:12" x14ac:dyDescent="0.2">
      <c r="A95" s="1">
        <v>38.53</v>
      </c>
      <c r="F95" cm="1">
        <f t="array" aca="1" ref="F95" ca="1">INDEX($A$2:$A$101,RANDBETWEEN(1,100))</f>
        <v>22.04</v>
      </c>
      <c r="G95">
        <f t="shared" ca="1" si="7"/>
        <v>31.27</v>
      </c>
      <c r="H95">
        <f t="shared" ca="1" si="4"/>
        <v>30.92</v>
      </c>
      <c r="J95">
        <v>94</v>
      </c>
      <c r="K95">
        <f t="shared" ca="1" si="5"/>
        <v>31.27</v>
      </c>
      <c r="L95">
        <f t="shared" ca="1" si="6"/>
        <v>30.92</v>
      </c>
    </row>
    <row r="96" spans="1:12" x14ac:dyDescent="0.2">
      <c r="A96" s="1">
        <v>36.31</v>
      </c>
      <c r="F96" cm="1">
        <f t="array" aca="1" ref="F96" ca="1">INDEX($A$2:$A$101,RANDBETWEEN(1,100))</f>
        <v>34.26</v>
      </c>
      <c r="G96">
        <f t="shared" ca="1" si="7"/>
        <v>30.277142857142859</v>
      </c>
      <c r="H96">
        <f t="shared" ca="1" si="4"/>
        <v>32.445</v>
      </c>
      <c r="J96">
        <v>95</v>
      </c>
      <c r="K96">
        <f t="shared" ca="1" si="5"/>
        <v>30.277142857142859</v>
      </c>
      <c r="L96">
        <f t="shared" ca="1" si="6"/>
        <v>32.445</v>
      </c>
    </row>
    <row r="97" spans="1:12" x14ac:dyDescent="0.2">
      <c r="A97" s="1">
        <v>30.04</v>
      </c>
      <c r="F97" cm="1">
        <f t="array" aca="1" ref="F97" ca="1">INDEX($A$2:$A$101,RANDBETWEEN(1,100))</f>
        <v>30.04</v>
      </c>
      <c r="G97">
        <f t="shared" ca="1" si="7"/>
        <v>31.650000000000002</v>
      </c>
      <c r="H97">
        <f t="shared" ca="1" si="4"/>
        <v>30.92</v>
      </c>
      <c r="J97">
        <v>96</v>
      </c>
      <c r="K97">
        <f t="shared" ca="1" si="5"/>
        <v>31.650000000000002</v>
      </c>
      <c r="L97">
        <f t="shared" ca="1" si="6"/>
        <v>30.92</v>
      </c>
    </row>
    <row r="98" spans="1:12" x14ac:dyDescent="0.2">
      <c r="A98" s="1">
        <v>30.44</v>
      </c>
      <c r="F98" cm="1">
        <f t="array" aca="1" ref="F98" ca="1">INDEX($A$2:$A$101,RANDBETWEEN(1,100))</f>
        <v>38.53</v>
      </c>
      <c r="G98">
        <f t="shared" ca="1" si="7"/>
        <v>31.127999999999997</v>
      </c>
      <c r="H98">
        <f t="shared" ca="1" si="4"/>
        <v>32.445</v>
      </c>
      <c r="J98">
        <v>97</v>
      </c>
      <c r="K98">
        <f t="shared" ca="1" si="5"/>
        <v>31.127999999999997</v>
      </c>
      <c r="L98">
        <f t="shared" ca="1" si="6"/>
        <v>32.445</v>
      </c>
    </row>
    <row r="99" spans="1:12" x14ac:dyDescent="0.2">
      <c r="A99" s="1">
        <v>39.049999999999997</v>
      </c>
      <c r="F99" cm="1">
        <f t="array" aca="1" ref="F99" ca="1">INDEX($A$2:$A$101,RANDBETWEEN(1,100))</f>
        <v>30.92</v>
      </c>
      <c r="G99">
        <f t="shared" ca="1" si="7"/>
        <v>31.4</v>
      </c>
      <c r="H99">
        <f t="shared" ca="1" si="4"/>
        <v>30.92</v>
      </c>
      <c r="J99">
        <v>98</v>
      </c>
      <c r="K99">
        <f t="shared" ca="1" si="5"/>
        <v>31.4</v>
      </c>
      <c r="L99">
        <f t="shared" ca="1" si="6"/>
        <v>30.92</v>
      </c>
    </row>
    <row r="100" spans="1:12" x14ac:dyDescent="0.2">
      <c r="A100" s="1">
        <v>25.93</v>
      </c>
      <c r="F100" cm="1">
        <f t="array" aca="1" ref="F100" ca="1">INDEX($A$2:$A$101,RANDBETWEEN(1,100))</f>
        <v>22.18</v>
      </c>
      <c r="G100">
        <f t="shared" ca="1" si="7"/>
        <v>29.02333333333333</v>
      </c>
      <c r="H100">
        <f t="shared" ca="1" si="4"/>
        <v>28.074999999999999</v>
      </c>
      <c r="J100">
        <v>99</v>
      </c>
      <c r="K100">
        <f t="shared" ca="1" si="5"/>
        <v>29.02333333333333</v>
      </c>
      <c r="L100">
        <f t="shared" ca="1" si="6"/>
        <v>28.074999999999999</v>
      </c>
    </row>
    <row r="101" spans="1:12" x14ac:dyDescent="0.2">
      <c r="A101" s="1">
        <v>36.01</v>
      </c>
      <c r="F101" cm="1">
        <f t="array" aca="1" ref="F101" ca="1">INDEX($A$2:$A$101,RANDBETWEEN(1,100))</f>
        <v>33.97</v>
      </c>
      <c r="G101">
        <f t="shared" ca="1" si="7"/>
        <v>28.074999999999999</v>
      </c>
      <c r="H101">
        <f t="shared" ca="1" si="4"/>
        <v>33.97</v>
      </c>
      <c r="K101">
        <f t="shared" ca="1" si="5"/>
        <v>28.074999999999999</v>
      </c>
      <c r="L101">
        <f t="shared" ca="1" si="6"/>
        <v>33.97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skyline_enrollments</vt:lpstr>
      <vt:lpstr>Bootstrap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kenya harvey</dc:creator>
  <cp:lastModifiedBy>kenya harvey</cp:lastModifiedBy>
  <dcterms:created xsi:type="dcterms:W3CDTF">2026-08-08T22:20:11Z</dcterms:created>
  <dcterms:modified xsi:type="dcterms:W3CDTF">2026-08-18T12:51:57Z</dcterms:modified>
</cp:coreProperties>
</file>
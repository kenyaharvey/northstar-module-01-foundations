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yaharvey/northstar-coursework/module-01-foundations-of-analytics-and-statistics/lesson-1-8-bootstrap/"/>
    </mc:Choice>
  </mc:AlternateContent>
  <xr:revisionPtr revIDLastSave="0" documentId="13_ncr:1_{5E9DE360-E42A-7E42-99BD-179883D5C4B6}" xr6:coauthVersionLast="47" xr6:coauthVersionMax="47" xr10:uidLastSave="{00000000-0000-0000-0000-000000000000}"/>
  <bookViews>
    <workbookView xWindow="0" yWindow="660" windowWidth="30240" windowHeight="17920" activeTab="1" xr2:uid="{B789D35D-8286-0147-8D32-7509A9EA0EA4}"/>
  </bookViews>
  <sheets>
    <sheet name="bakery_customers" sheetId="1" r:id="rId1"/>
    <sheet name="Bootstrap" sheetId="2" r:id="rId2"/>
  </sheets>
  <definedNames>
    <definedName name="_xlchart.v1.0" hidden="1">Bootstrap!$L$1</definedName>
    <definedName name="_xlchart.v1.1" hidden="1">Bootstrap!$L$2:$L$1002</definedName>
    <definedName name="_xlchart.v1.10" hidden="1">Bootstrap!$K$1</definedName>
    <definedName name="_xlchart.v1.11" hidden="1">Bootstrap!$K$2:$K$1002</definedName>
    <definedName name="_xlchart.v1.2" hidden="1">Bootstrap!$L$1</definedName>
    <definedName name="_xlchart.v1.3" hidden="1">Bootstrap!$L$2:$L$1002</definedName>
    <definedName name="_xlchart.v1.4" hidden="1">Bootstrap!$K$1</definedName>
    <definedName name="_xlchart.v1.5" hidden="1">Bootstrap!$K$2:$K$1002</definedName>
    <definedName name="_xlchart.v1.6" hidden="1">Bootstrap!$L$1</definedName>
    <definedName name="_xlchart.v1.7" hidden="1">Bootstrap!$L$2:$L$1002</definedName>
    <definedName name="_xlchart.v1.8" hidden="1">Bootstrap!$L$1</definedName>
    <definedName name="_xlchart.v1.9" hidden="1">Bootstrap!$L$2:$L$1002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 a="1"/>
  <c r="F3" i="2" s="1"/>
  <c r="F4" i="2" a="1"/>
  <c r="F4" i="2" s="1"/>
  <c r="F5" i="2" a="1"/>
  <c r="F5" i="2" s="1"/>
  <c r="F6" i="2" a="1"/>
  <c r="F6" i="2" s="1"/>
  <c r="F7" i="2" a="1"/>
  <c r="F7" i="2" s="1"/>
  <c r="F8" i="2" a="1"/>
  <c r="F8" i="2" s="1"/>
  <c r="F9" i="2" a="1"/>
  <c r="F9" i="2" s="1"/>
  <c r="F10" i="2" a="1"/>
  <c r="F10" i="2" s="1"/>
  <c r="F11" i="2" a="1"/>
  <c r="F11" i="2" s="1"/>
  <c r="F12" i="2" a="1"/>
  <c r="F12" i="2" s="1"/>
  <c r="F13" i="2" a="1"/>
  <c r="F13" i="2" s="1"/>
  <c r="F14" i="2" a="1"/>
  <c r="F14" i="2" s="1"/>
  <c r="F15" i="2" a="1"/>
  <c r="F15" i="2" s="1"/>
  <c r="F16" i="2" a="1"/>
  <c r="F16" i="2" s="1"/>
  <c r="F17" i="2" a="1"/>
  <c r="F17" i="2" s="1"/>
  <c r="F18" i="2" a="1"/>
  <c r="F18" i="2" s="1"/>
  <c r="F19" i="2" a="1"/>
  <c r="F19" i="2" s="1"/>
  <c r="F20" i="2" a="1"/>
  <c r="F20" i="2" s="1"/>
  <c r="F21" i="2" a="1"/>
  <c r="F21" i="2" s="1"/>
  <c r="F22" i="2" a="1"/>
  <c r="F22" i="2" s="1"/>
  <c r="F23" i="2" a="1"/>
  <c r="F23" i="2" s="1"/>
  <c r="F24" i="2" a="1"/>
  <c r="F24" i="2" s="1"/>
  <c r="F25" i="2" a="1"/>
  <c r="F25" i="2" s="1"/>
  <c r="F26" i="2" a="1"/>
  <c r="F26" i="2" s="1"/>
  <c r="F27" i="2" a="1"/>
  <c r="F27" i="2" s="1"/>
  <c r="F28" i="2" a="1"/>
  <c r="F28" i="2" s="1"/>
  <c r="F29" i="2" a="1"/>
  <c r="F29" i="2" s="1"/>
  <c r="F30" i="2" a="1"/>
  <c r="F30" i="2" s="1"/>
  <c r="F31" i="2" a="1"/>
  <c r="F31" i="2" s="1"/>
  <c r="F32" i="2" a="1"/>
  <c r="F32" i="2" s="1"/>
  <c r="F33" i="2" a="1"/>
  <c r="F33" i="2" s="1"/>
  <c r="F34" i="2" a="1"/>
  <c r="F34" i="2" s="1"/>
  <c r="F35" i="2" a="1"/>
  <c r="F35" i="2" s="1"/>
  <c r="F36" i="2" a="1"/>
  <c r="F36" i="2" s="1"/>
  <c r="F37" i="2" a="1"/>
  <c r="F37" i="2" s="1"/>
  <c r="F38" i="2" a="1"/>
  <c r="F38" i="2" s="1"/>
  <c r="F39" i="2" a="1"/>
  <c r="F39" i="2" s="1"/>
  <c r="F40" i="2" a="1"/>
  <c r="F40" i="2" s="1"/>
  <c r="F41" i="2" a="1"/>
  <c r="F41" i="2" s="1"/>
  <c r="F42" i="2" a="1"/>
  <c r="F42" i="2" s="1"/>
  <c r="F43" i="2" a="1"/>
  <c r="F43" i="2" s="1"/>
  <c r="F44" i="2" a="1"/>
  <c r="F44" i="2" s="1"/>
  <c r="F45" i="2" a="1"/>
  <c r="F45" i="2" s="1"/>
  <c r="F46" i="2" a="1"/>
  <c r="F46" i="2" s="1"/>
  <c r="F47" i="2" a="1"/>
  <c r="F47" i="2" s="1"/>
  <c r="F48" i="2" a="1"/>
  <c r="F48" i="2" s="1"/>
  <c r="F49" i="2" a="1"/>
  <c r="F49" i="2" s="1"/>
  <c r="F50" i="2" a="1"/>
  <c r="F50" i="2" s="1"/>
  <c r="F51" i="2" a="1"/>
  <c r="F51" i="2" s="1"/>
  <c r="F2" i="2" a="1"/>
  <c r="F2" i="2" s="1"/>
  <c r="D3" i="2"/>
  <c r="D2" i="2"/>
  <c r="D1" i="2"/>
  <c r="H2" i="2" l="1"/>
  <c r="L2" i="2" s="1"/>
  <c r="G2" i="2"/>
  <c r="K2" i="2" s="1"/>
  <c r="O5" i="2" l="1"/>
  <c r="O6" i="2"/>
  <c r="O3" i="2"/>
  <c r="O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<sst xmlns="http://schemas.openxmlformats.org/spreadsheetml/2006/main" count="120" uniqueCount="72">
  <si>
    <t>customer_id</t>
  </si>
  <si>
    <t>region</t>
  </si>
  <si>
    <t>first_visit_year</t>
  </si>
  <si>
    <t>satisfaction</t>
  </si>
  <si>
    <t>total_spent_usd</t>
  </si>
  <si>
    <t>visits_last_year</t>
  </si>
  <si>
    <t>CUST-93810</t>
  </si>
  <si>
    <t>Downtown</t>
  </si>
  <si>
    <t>CUST-24592</t>
  </si>
  <si>
    <t>West End</t>
  </si>
  <si>
    <t>CUST-13278</t>
  </si>
  <si>
    <t>South Side</t>
  </si>
  <si>
    <t>CUST-46048</t>
  </si>
  <si>
    <t>North Side</t>
  </si>
  <si>
    <t>CUST-42098</t>
  </si>
  <si>
    <t>CUST-39256</t>
  </si>
  <si>
    <t>CUST-28289</t>
  </si>
  <si>
    <t>CUST-23434</t>
  </si>
  <si>
    <t>CUST-98696</t>
  </si>
  <si>
    <t>CUST-81482</t>
  </si>
  <si>
    <t>CUST-21395</t>
  </si>
  <si>
    <t>CUST-87397</t>
  </si>
  <si>
    <t>CUST-65302</t>
  </si>
  <si>
    <t>CUST-14165</t>
  </si>
  <si>
    <t>CUST-13905</t>
  </si>
  <si>
    <t>CUST-22280</t>
  </si>
  <si>
    <t>CUST-38657</t>
  </si>
  <si>
    <t>CUST-40495</t>
  </si>
  <si>
    <t>CUST-76237</t>
  </si>
  <si>
    <t>CUST-88907</t>
  </si>
  <si>
    <t>CUST-13478</t>
  </si>
  <si>
    <t>CUST-83563</t>
  </si>
  <si>
    <t>CUST-36062</t>
  </si>
  <si>
    <t>CUST-95181</t>
  </si>
  <si>
    <t>CUST-81426</t>
  </si>
  <si>
    <t>CUST-64987</t>
  </si>
  <si>
    <t>CUST-38893</t>
  </si>
  <si>
    <t>CUST-68878</t>
  </si>
  <si>
    <t>CUST-87236</t>
  </si>
  <si>
    <t>CUST-46463</t>
  </si>
  <si>
    <t>CUST-10851</t>
  </si>
  <si>
    <t>CUST-30926</t>
  </si>
  <si>
    <t>CUST-65392</t>
  </si>
  <si>
    <t>CUST-54597</t>
  </si>
  <si>
    <t>CUST-46421</t>
  </si>
  <si>
    <t>CUST-30379</t>
  </si>
  <si>
    <t>CUST-38221</t>
  </si>
  <si>
    <t>CUST-54118</t>
  </si>
  <si>
    <t>CUST-23396</t>
  </si>
  <si>
    <t>CUST-22156</t>
  </si>
  <si>
    <t>CUST-59797</t>
  </si>
  <si>
    <t>CUST-22676</t>
  </si>
  <si>
    <t>CUST-57052</t>
  </si>
  <si>
    <t>CUST-55082</t>
  </si>
  <si>
    <t>CUST-89131</t>
  </si>
  <si>
    <t>CUST-44671</t>
  </si>
  <si>
    <t>CUST-15695</t>
  </si>
  <si>
    <t>CUST-70217</t>
  </si>
  <si>
    <t>CUST-80284</t>
  </si>
  <si>
    <t>CUST-26361</t>
  </si>
  <si>
    <t>sample size</t>
  </si>
  <si>
    <t>sample mean</t>
  </si>
  <si>
    <t>sample median</t>
  </si>
  <si>
    <t>bootstrap_sample</t>
  </si>
  <si>
    <t>boot_mean</t>
  </si>
  <si>
    <t>boot_medain</t>
  </si>
  <si>
    <t>iteration</t>
  </si>
  <si>
    <t>boot_median</t>
  </si>
  <si>
    <t>Mean CI lower (2.5%)</t>
  </si>
  <si>
    <t>Mean CI upper (97.5%)</t>
  </si>
  <si>
    <t>Median CI lower(2.5%)</t>
  </si>
  <si>
    <t>Median CI upper(97.5%)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</si>
</sst>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rgb="FFB44437"/>
      <name val="Helvetica Neue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Bootstrap Distribution: Mean Total Spent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rPr>
            <a:t>Bootstrap Distribution: Mean Total Spent</a:t>
          </a:r>
        </a:p>
      </cx:txPr>
    </cx:title>
    <cx:plotArea>
      <cx:plotAreaRegion>
        <cx:series layoutId="clusteredColumn" uniqueId="{00000000-2BE2-4443-8EFC-168BC499BFF1}">
          <cx:tx>
            <cx:txData>
              <cx:f>_xlchart.v1.10</cx:f>
              <cx:v>boot_mean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title>
          <cx:tx>
            <cx:txData>
              <cx:v>Bootstrap Sample Mean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Bootstrap Sample Mean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Bootstrap Distribution: Median Total Spent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Bootstrap Distribution: Median Total Spent</a:t>
          </a:r>
        </a:p>
      </cx:txPr>
    </cx:title>
    <cx:plotArea>
      <cx:plotAreaRegion>
        <cx:series layoutId="clusteredColumn" uniqueId="{00000000-7121-FC49-AD2D-41FCCF862BE7}">
          <cx:tx>
            <cx:txData>
              <cx:f>_xlchart.v1.6</cx:f>
              <cx:v>boot_median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title>
          <cx:tx>
            <cx:txData>
              <cx:v>Bootstrap Sample Median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Bootstrap Sample Median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82550</xdr:colOff>
      <xdr:row>7</xdr:row>
      <xdr:rowOff>101600</xdr:rowOff>
    </xdr:from>
    <xdr:to>
      <xdr:col>20</xdr:col>
      <xdr:colOff>304800</xdr:colOff>
      <xdr:row>21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CE7FE04-D587-68DB-368D-D5869897BE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66550" y="1574800"/>
              <a:ext cx="6661150" cy="2921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158750</xdr:colOff>
      <xdr:row>23</xdr:row>
      <xdr:rowOff>6350</xdr:rowOff>
    </xdr:from>
    <xdr:to>
      <xdr:col>20</xdr:col>
      <xdr:colOff>355600</xdr:colOff>
      <xdr:row>37</xdr:row>
      <xdr:rowOff>12700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5B5E455-F4F0-2041-A562-03152DFD32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42750" y="4730750"/>
              <a:ext cx="6635750" cy="2851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EF8F9-1EBC-7C43-B5F7-55A46CA321C2}">
  <dimension ref="A1:F51"/>
  <sheetViews>
    <sheetView topLeftCell="A40" workbookViewId="0">
      <selection activeCell="E51" sqref="E51"/>
    </sheetView>
  </sheetViews>
  <sheetFormatPr baseColWidth="10" defaultRowHeight="16" x14ac:dyDescent="0.2"/>
  <cols>
    <col min="1" max="1" width="15" customWidth="1"/>
    <col min="3" max="3" width="14.33203125" customWidth="1"/>
    <col min="4" max="4" width="11.5" customWidth="1"/>
    <col min="5" max="5" width="14.83203125" customWidth="1"/>
    <col min="6" max="6" width="13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2024</v>
      </c>
      <c r="D2">
        <v>5</v>
      </c>
      <c r="E2">
        <v>351.9</v>
      </c>
      <c r="F2">
        <v>9</v>
      </c>
    </row>
    <row r="3" spans="1:6" x14ac:dyDescent="0.2">
      <c r="A3" t="s">
        <v>8</v>
      </c>
      <c r="B3" t="s">
        <v>9</v>
      </c>
      <c r="C3">
        <v>2025</v>
      </c>
      <c r="D3">
        <v>5</v>
      </c>
      <c r="E3">
        <v>226.64</v>
      </c>
      <c r="F3">
        <v>11</v>
      </c>
    </row>
    <row r="4" spans="1:6" x14ac:dyDescent="0.2">
      <c r="A4" t="s">
        <v>10</v>
      </c>
      <c r="B4" t="s">
        <v>11</v>
      </c>
      <c r="C4">
        <v>2024</v>
      </c>
      <c r="D4">
        <v>5</v>
      </c>
      <c r="E4">
        <v>37.590000000000003</v>
      </c>
      <c r="F4">
        <v>5</v>
      </c>
    </row>
    <row r="5" spans="1:6" x14ac:dyDescent="0.2">
      <c r="A5" t="s">
        <v>12</v>
      </c>
      <c r="B5" t="s">
        <v>13</v>
      </c>
      <c r="C5">
        <v>2018</v>
      </c>
      <c r="D5">
        <v>5</v>
      </c>
      <c r="E5">
        <v>277.64</v>
      </c>
      <c r="F5">
        <v>9</v>
      </c>
    </row>
    <row r="6" spans="1:6" x14ac:dyDescent="0.2">
      <c r="A6" t="s">
        <v>14</v>
      </c>
      <c r="B6" t="s">
        <v>7</v>
      </c>
      <c r="C6">
        <v>2021</v>
      </c>
      <c r="D6">
        <v>4</v>
      </c>
      <c r="E6">
        <v>218.36</v>
      </c>
      <c r="F6">
        <v>8</v>
      </c>
    </row>
    <row r="7" spans="1:6" x14ac:dyDescent="0.2">
      <c r="A7" t="s">
        <v>15</v>
      </c>
      <c r="B7" t="s">
        <v>7</v>
      </c>
      <c r="C7">
        <v>2022</v>
      </c>
      <c r="D7">
        <v>5</v>
      </c>
      <c r="E7">
        <v>226.87</v>
      </c>
      <c r="F7">
        <v>9</v>
      </c>
    </row>
    <row r="8" spans="1:6" x14ac:dyDescent="0.2">
      <c r="A8" t="s">
        <v>16</v>
      </c>
      <c r="B8" t="s">
        <v>7</v>
      </c>
      <c r="C8">
        <v>2025</v>
      </c>
      <c r="D8">
        <v>2</v>
      </c>
      <c r="E8">
        <v>286.23</v>
      </c>
      <c r="F8">
        <v>8</v>
      </c>
    </row>
    <row r="9" spans="1:6" x14ac:dyDescent="0.2">
      <c r="A9" t="s">
        <v>17</v>
      </c>
      <c r="B9" t="s">
        <v>9</v>
      </c>
      <c r="C9">
        <v>2021</v>
      </c>
      <c r="D9">
        <v>3</v>
      </c>
      <c r="E9">
        <v>236.72</v>
      </c>
      <c r="F9">
        <v>12</v>
      </c>
    </row>
    <row r="10" spans="1:6" x14ac:dyDescent="0.2">
      <c r="A10" t="s">
        <v>18</v>
      </c>
      <c r="B10" t="s">
        <v>13</v>
      </c>
      <c r="C10">
        <v>2023</v>
      </c>
      <c r="D10">
        <v>1</v>
      </c>
      <c r="E10">
        <v>267.2</v>
      </c>
      <c r="F10">
        <v>15</v>
      </c>
    </row>
    <row r="11" spans="1:6" x14ac:dyDescent="0.2">
      <c r="A11" t="s">
        <v>19</v>
      </c>
      <c r="B11" t="s">
        <v>11</v>
      </c>
      <c r="C11">
        <v>2022</v>
      </c>
      <c r="D11">
        <v>3</v>
      </c>
      <c r="E11">
        <v>88.21</v>
      </c>
      <c r="F11">
        <v>9</v>
      </c>
    </row>
    <row r="12" spans="1:6" x14ac:dyDescent="0.2">
      <c r="A12" t="s">
        <v>20</v>
      </c>
      <c r="B12" t="s">
        <v>7</v>
      </c>
      <c r="C12">
        <v>2024</v>
      </c>
      <c r="D12">
        <v>4</v>
      </c>
      <c r="E12">
        <v>174.56</v>
      </c>
      <c r="F12">
        <v>5</v>
      </c>
    </row>
    <row r="13" spans="1:6" x14ac:dyDescent="0.2">
      <c r="A13" t="s">
        <v>21</v>
      </c>
      <c r="B13" t="s">
        <v>9</v>
      </c>
      <c r="C13">
        <v>2024</v>
      </c>
      <c r="D13">
        <v>3</v>
      </c>
      <c r="E13">
        <v>362.32</v>
      </c>
      <c r="F13">
        <v>7</v>
      </c>
    </row>
    <row r="14" spans="1:6" x14ac:dyDescent="0.2">
      <c r="A14" t="s">
        <v>22</v>
      </c>
      <c r="B14" t="s">
        <v>11</v>
      </c>
      <c r="C14">
        <v>2022</v>
      </c>
      <c r="D14">
        <v>5</v>
      </c>
      <c r="E14">
        <v>248.52</v>
      </c>
      <c r="F14">
        <v>9</v>
      </c>
    </row>
    <row r="15" spans="1:6" x14ac:dyDescent="0.2">
      <c r="A15" t="s">
        <v>23</v>
      </c>
      <c r="B15" t="s">
        <v>7</v>
      </c>
      <c r="C15">
        <v>2024</v>
      </c>
      <c r="D15">
        <v>4</v>
      </c>
      <c r="E15">
        <v>116.12</v>
      </c>
      <c r="F15">
        <v>6</v>
      </c>
    </row>
    <row r="16" spans="1:6" x14ac:dyDescent="0.2">
      <c r="A16" t="s">
        <v>24</v>
      </c>
      <c r="B16" t="s">
        <v>7</v>
      </c>
      <c r="C16">
        <v>2020</v>
      </c>
      <c r="D16">
        <v>3</v>
      </c>
      <c r="E16">
        <v>164.2</v>
      </c>
      <c r="F16">
        <v>9</v>
      </c>
    </row>
    <row r="17" spans="1:6" x14ac:dyDescent="0.2">
      <c r="A17" t="s">
        <v>25</v>
      </c>
      <c r="B17" t="s">
        <v>7</v>
      </c>
      <c r="C17">
        <v>2022</v>
      </c>
      <c r="D17">
        <v>4</v>
      </c>
      <c r="E17">
        <v>170.59</v>
      </c>
      <c r="F17">
        <v>5</v>
      </c>
    </row>
    <row r="18" spans="1:6" x14ac:dyDescent="0.2">
      <c r="A18" t="s">
        <v>26</v>
      </c>
      <c r="B18" t="s">
        <v>7</v>
      </c>
      <c r="C18">
        <v>2021</v>
      </c>
      <c r="D18">
        <v>2</v>
      </c>
      <c r="E18">
        <v>258.19</v>
      </c>
      <c r="F18">
        <v>2</v>
      </c>
    </row>
    <row r="19" spans="1:6" x14ac:dyDescent="0.2">
      <c r="A19" t="s">
        <v>27</v>
      </c>
      <c r="B19" t="s">
        <v>13</v>
      </c>
      <c r="C19">
        <v>2022</v>
      </c>
      <c r="D19">
        <v>5</v>
      </c>
      <c r="E19">
        <v>215.39</v>
      </c>
      <c r="F19">
        <v>8</v>
      </c>
    </row>
    <row r="20" spans="1:6" x14ac:dyDescent="0.2">
      <c r="A20" t="s">
        <v>28</v>
      </c>
      <c r="B20" t="s">
        <v>13</v>
      </c>
      <c r="C20">
        <v>2025</v>
      </c>
      <c r="D20">
        <v>2</v>
      </c>
      <c r="E20">
        <v>197.27</v>
      </c>
      <c r="F20">
        <v>8</v>
      </c>
    </row>
    <row r="21" spans="1:6" x14ac:dyDescent="0.2">
      <c r="A21" t="s">
        <v>29</v>
      </c>
      <c r="B21" t="s">
        <v>7</v>
      </c>
      <c r="C21">
        <v>2024</v>
      </c>
      <c r="D21">
        <v>5</v>
      </c>
      <c r="E21">
        <v>250.31</v>
      </c>
      <c r="F21">
        <v>6</v>
      </c>
    </row>
    <row r="22" spans="1:6" x14ac:dyDescent="0.2">
      <c r="A22" t="s">
        <v>30</v>
      </c>
      <c r="B22" t="s">
        <v>13</v>
      </c>
      <c r="C22">
        <v>2020</v>
      </c>
      <c r="D22">
        <v>5</v>
      </c>
      <c r="E22">
        <v>288.22000000000003</v>
      </c>
      <c r="F22">
        <v>9</v>
      </c>
    </row>
    <row r="23" spans="1:6" x14ac:dyDescent="0.2">
      <c r="A23" t="s">
        <v>31</v>
      </c>
      <c r="B23" t="s">
        <v>7</v>
      </c>
      <c r="C23">
        <v>2020</v>
      </c>
      <c r="D23">
        <v>3</v>
      </c>
      <c r="E23">
        <v>229.28</v>
      </c>
      <c r="F23">
        <v>3</v>
      </c>
    </row>
    <row r="24" spans="1:6" x14ac:dyDescent="0.2">
      <c r="A24" t="s">
        <v>32</v>
      </c>
      <c r="B24" t="s">
        <v>7</v>
      </c>
      <c r="C24">
        <v>2023</v>
      </c>
      <c r="D24">
        <v>1</v>
      </c>
      <c r="E24">
        <v>204.02</v>
      </c>
      <c r="F24">
        <v>5</v>
      </c>
    </row>
    <row r="25" spans="1:6" x14ac:dyDescent="0.2">
      <c r="A25" t="s">
        <v>33</v>
      </c>
      <c r="B25" t="s">
        <v>7</v>
      </c>
      <c r="C25">
        <v>2021</v>
      </c>
      <c r="D25">
        <v>5</v>
      </c>
      <c r="E25">
        <v>216.28</v>
      </c>
      <c r="F25">
        <v>13</v>
      </c>
    </row>
    <row r="26" spans="1:6" x14ac:dyDescent="0.2">
      <c r="A26" t="s">
        <v>34</v>
      </c>
      <c r="B26" t="s">
        <v>13</v>
      </c>
      <c r="C26">
        <v>2019</v>
      </c>
      <c r="D26">
        <v>5</v>
      </c>
      <c r="E26">
        <v>277.19</v>
      </c>
      <c r="F26">
        <v>12</v>
      </c>
    </row>
    <row r="27" spans="1:6" x14ac:dyDescent="0.2">
      <c r="A27" t="s">
        <v>35</v>
      </c>
      <c r="B27" t="s">
        <v>11</v>
      </c>
      <c r="C27">
        <v>2019</v>
      </c>
      <c r="D27">
        <v>5</v>
      </c>
      <c r="E27">
        <v>249.41</v>
      </c>
      <c r="F27">
        <v>10</v>
      </c>
    </row>
    <row r="28" spans="1:6" x14ac:dyDescent="0.2">
      <c r="A28" t="s">
        <v>36</v>
      </c>
      <c r="B28" t="s">
        <v>7</v>
      </c>
      <c r="C28">
        <v>2022</v>
      </c>
      <c r="D28">
        <v>5</v>
      </c>
      <c r="E28">
        <v>311.38</v>
      </c>
      <c r="F28">
        <v>7</v>
      </c>
    </row>
    <row r="29" spans="1:6" x14ac:dyDescent="0.2">
      <c r="A29" t="s">
        <v>37</v>
      </c>
      <c r="B29" t="s">
        <v>13</v>
      </c>
      <c r="C29">
        <v>2023</v>
      </c>
      <c r="D29">
        <v>2</v>
      </c>
      <c r="E29">
        <v>158.02000000000001</v>
      </c>
      <c r="F29">
        <v>6</v>
      </c>
    </row>
    <row r="30" spans="1:6" x14ac:dyDescent="0.2">
      <c r="A30" t="s">
        <v>38</v>
      </c>
      <c r="B30" t="s">
        <v>13</v>
      </c>
      <c r="C30">
        <v>2018</v>
      </c>
      <c r="D30">
        <v>4</v>
      </c>
      <c r="E30">
        <v>187.97</v>
      </c>
      <c r="F30">
        <v>5</v>
      </c>
    </row>
    <row r="31" spans="1:6" x14ac:dyDescent="0.2">
      <c r="A31" t="s">
        <v>39</v>
      </c>
      <c r="B31" t="s">
        <v>7</v>
      </c>
      <c r="C31">
        <v>2022</v>
      </c>
      <c r="D31">
        <v>2</v>
      </c>
      <c r="E31">
        <v>311.85000000000002</v>
      </c>
      <c r="F31">
        <v>9</v>
      </c>
    </row>
    <row r="32" spans="1:6" x14ac:dyDescent="0.2">
      <c r="A32" t="s">
        <v>40</v>
      </c>
      <c r="B32" t="s">
        <v>13</v>
      </c>
      <c r="C32">
        <v>2023</v>
      </c>
      <c r="D32">
        <v>5</v>
      </c>
      <c r="E32">
        <v>185.85</v>
      </c>
      <c r="F32">
        <v>6</v>
      </c>
    </row>
    <row r="33" spans="1:6" x14ac:dyDescent="0.2">
      <c r="A33" t="s">
        <v>41</v>
      </c>
      <c r="B33" t="s">
        <v>7</v>
      </c>
      <c r="C33">
        <v>2021</v>
      </c>
      <c r="D33">
        <v>4</v>
      </c>
      <c r="E33">
        <v>360.72</v>
      </c>
      <c r="F33">
        <v>4</v>
      </c>
    </row>
    <row r="34" spans="1:6" x14ac:dyDescent="0.2">
      <c r="A34" t="s">
        <v>42</v>
      </c>
      <c r="B34" t="s">
        <v>7</v>
      </c>
      <c r="C34">
        <v>2021</v>
      </c>
      <c r="D34">
        <v>3</v>
      </c>
      <c r="E34">
        <v>362.42</v>
      </c>
      <c r="F34">
        <v>8</v>
      </c>
    </row>
    <row r="35" spans="1:6" x14ac:dyDescent="0.2">
      <c r="A35" t="s">
        <v>43</v>
      </c>
      <c r="B35" t="s">
        <v>9</v>
      </c>
      <c r="C35">
        <v>2021</v>
      </c>
      <c r="D35">
        <v>2</v>
      </c>
      <c r="E35">
        <v>361.39</v>
      </c>
      <c r="F35">
        <v>9</v>
      </c>
    </row>
    <row r="36" spans="1:6" x14ac:dyDescent="0.2">
      <c r="A36" t="s">
        <v>44</v>
      </c>
      <c r="B36" t="s">
        <v>9</v>
      </c>
      <c r="C36">
        <v>2021</v>
      </c>
      <c r="D36">
        <v>3</v>
      </c>
      <c r="E36">
        <v>179.55</v>
      </c>
      <c r="F36">
        <v>10</v>
      </c>
    </row>
    <row r="37" spans="1:6" x14ac:dyDescent="0.2">
      <c r="A37" t="s">
        <v>45</v>
      </c>
      <c r="B37" t="s">
        <v>11</v>
      </c>
      <c r="C37">
        <v>2021</v>
      </c>
      <c r="D37">
        <v>3</v>
      </c>
      <c r="E37">
        <v>256.14999999999998</v>
      </c>
      <c r="F37">
        <v>8</v>
      </c>
    </row>
    <row r="38" spans="1:6" x14ac:dyDescent="0.2">
      <c r="A38" t="s">
        <v>46</v>
      </c>
      <c r="B38" t="s">
        <v>7</v>
      </c>
      <c r="C38">
        <v>2023</v>
      </c>
      <c r="D38">
        <v>5</v>
      </c>
      <c r="E38">
        <v>210.53</v>
      </c>
      <c r="F38">
        <v>13</v>
      </c>
    </row>
    <row r="39" spans="1:6" x14ac:dyDescent="0.2">
      <c r="A39" t="s">
        <v>47</v>
      </c>
      <c r="B39" t="s">
        <v>7</v>
      </c>
      <c r="C39">
        <v>2023</v>
      </c>
      <c r="D39">
        <v>4</v>
      </c>
      <c r="E39">
        <v>323.85000000000002</v>
      </c>
      <c r="F39">
        <v>6</v>
      </c>
    </row>
    <row r="40" spans="1:6" x14ac:dyDescent="0.2">
      <c r="A40" t="s">
        <v>48</v>
      </c>
      <c r="B40" t="s">
        <v>11</v>
      </c>
      <c r="C40">
        <v>2020</v>
      </c>
      <c r="D40">
        <v>5</v>
      </c>
      <c r="E40">
        <v>386.53</v>
      </c>
      <c r="F40">
        <v>15</v>
      </c>
    </row>
    <row r="41" spans="1:6" x14ac:dyDescent="0.2">
      <c r="A41" t="s">
        <v>49</v>
      </c>
      <c r="B41" t="s">
        <v>13</v>
      </c>
      <c r="C41">
        <v>2025</v>
      </c>
      <c r="D41">
        <v>4</v>
      </c>
      <c r="E41">
        <v>319.89</v>
      </c>
      <c r="F41">
        <v>8</v>
      </c>
    </row>
    <row r="42" spans="1:6" x14ac:dyDescent="0.2">
      <c r="A42" t="s">
        <v>50</v>
      </c>
      <c r="B42" t="s">
        <v>7</v>
      </c>
      <c r="C42">
        <v>2019</v>
      </c>
      <c r="D42">
        <v>2</v>
      </c>
      <c r="E42">
        <v>250.73</v>
      </c>
      <c r="F42">
        <v>10</v>
      </c>
    </row>
    <row r="43" spans="1:6" x14ac:dyDescent="0.2">
      <c r="A43" t="s">
        <v>51</v>
      </c>
      <c r="B43" t="s">
        <v>13</v>
      </c>
      <c r="C43">
        <v>2024</v>
      </c>
      <c r="D43">
        <v>5</v>
      </c>
      <c r="E43">
        <v>220.76</v>
      </c>
      <c r="F43">
        <v>5</v>
      </c>
    </row>
    <row r="44" spans="1:6" x14ac:dyDescent="0.2">
      <c r="A44" t="s">
        <v>52</v>
      </c>
      <c r="B44" t="s">
        <v>7</v>
      </c>
      <c r="C44">
        <v>2021</v>
      </c>
      <c r="D44">
        <v>5</v>
      </c>
      <c r="E44">
        <v>301.93</v>
      </c>
      <c r="F44">
        <v>12</v>
      </c>
    </row>
    <row r="45" spans="1:6" x14ac:dyDescent="0.2">
      <c r="A45" t="s">
        <v>53</v>
      </c>
      <c r="B45" t="s">
        <v>9</v>
      </c>
      <c r="C45">
        <v>2018</v>
      </c>
      <c r="D45">
        <v>4</v>
      </c>
      <c r="E45">
        <v>152.16999999999999</v>
      </c>
      <c r="F45">
        <v>9</v>
      </c>
    </row>
    <row r="46" spans="1:6" x14ac:dyDescent="0.2">
      <c r="A46" t="s">
        <v>54</v>
      </c>
      <c r="B46" t="s">
        <v>7</v>
      </c>
      <c r="C46">
        <v>2024</v>
      </c>
      <c r="D46">
        <v>5</v>
      </c>
      <c r="E46">
        <v>292.91000000000003</v>
      </c>
      <c r="F46">
        <v>4</v>
      </c>
    </row>
    <row r="47" spans="1:6" x14ac:dyDescent="0.2">
      <c r="A47" t="s">
        <v>55</v>
      </c>
      <c r="B47" t="s">
        <v>11</v>
      </c>
      <c r="C47">
        <v>2023</v>
      </c>
      <c r="D47">
        <v>4</v>
      </c>
      <c r="E47">
        <v>176.82</v>
      </c>
      <c r="F47">
        <v>7</v>
      </c>
    </row>
    <row r="48" spans="1:6" x14ac:dyDescent="0.2">
      <c r="A48" t="s">
        <v>56</v>
      </c>
      <c r="B48" t="s">
        <v>7</v>
      </c>
      <c r="C48">
        <v>2018</v>
      </c>
      <c r="D48">
        <v>4</v>
      </c>
      <c r="E48">
        <v>299.64</v>
      </c>
      <c r="F48">
        <v>4</v>
      </c>
    </row>
    <row r="49" spans="1:6" x14ac:dyDescent="0.2">
      <c r="A49" t="s">
        <v>57</v>
      </c>
      <c r="B49" t="s">
        <v>13</v>
      </c>
      <c r="C49">
        <v>2018</v>
      </c>
      <c r="D49">
        <v>4</v>
      </c>
      <c r="E49">
        <v>237.13</v>
      </c>
      <c r="F49">
        <v>7</v>
      </c>
    </row>
    <row r="50" spans="1:6" x14ac:dyDescent="0.2">
      <c r="A50" t="s">
        <v>58</v>
      </c>
      <c r="B50" t="s">
        <v>13</v>
      </c>
      <c r="C50">
        <v>2018</v>
      </c>
      <c r="D50">
        <v>1</v>
      </c>
      <c r="E50">
        <v>218.94</v>
      </c>
      <c r="F50">
        <v>7</v>
      </c>
    </row>
    <row r="51" spans="1:6" x14ac:dyDescent="0.2">
      <c r="A51" t="s">
        <v>59</v>
      </c>
      <c r="B51" t="s">
        <v>7</v>
      </c>
      <c r="C51">
        <v>2020</v>
      </c>
      <c r="D51">
        <v>2</v>
      </c>
      <c r="E51">
        <v>179.16</v>
      </c>
      <c r="F51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A382E-E1DB-AA4A-B047-B45B267D6ED9}">
  <dimension ref="A1:O1002"/>
  <sheetViews>
    <sheetView tabSelected="1" workbookViewId="0">
      <selection activeCell="L1" sqref="L1:L1048576"/>
    </sheetView>
  </sheetViews>
  <sheetFormatPr baseColWidth="10" defaultRowHeight="16" x14ac:dyDescent="0.2"/>
  <cols>
    <col min="1" max="1" width="15.33203125" customWidth="1"/>
    <col min="2" max="2" width="12.83203125" customWidth="1"/>
    <col min="6" max="6" width="15.6640625" customWidth="1"/>
    <col min="12" max="12" width="12" customWidth="1"/>
    <col min="14" max="14" width="19.5" customWidth="1"/>
  </cols>
  <sheetData>
    <row r="1" spans="1:15" ht="20" x14ac:dyDescent="0.2">
      <c r="A1" t="s">
        <v>4</v>
      </c>
      <c r="B1" t="s">
        <v>60</v>
      </c>
      <c r="C1" s="1"/>
      <c r="D1">
        <f>COUNT(A2:A51)</f>
        <v>50</v>
      </c>
      <c r="F1" t="s">
        <v>63</v>
      </c>
      <c r="G1" t="s">
        <v>64</v>
      </c>
      <c r="H1" t="s">
        <v>65</v>
      </c>
      <c r="J1" t="s">
        <v>66</v>
      </c>
      <c r="K1" t="s">
        <v>64</v>
      </c>
      <c r="L1" t="s">
        <v>67</v>
      </c>
    </row>
    <row r="2" spans="1:15" x14ac:dyDescent="0.2">
      <c r="A2">
        <v>351.9</v>
      </c>
      <c r="B2" t="s">
        <v>61</v>
      </c>
      <c r="D2">
        <f>AVERAGE(A2:A51)</f>
        <v>241.71040000000005</v>
      </c>
      <c r="F2" cm="1">
        <f t="array" aca="1" ref="F2" ca="1">INDEX($A$2:$A$51, RANDBETWEEN(1,50))</f>
        <v>286.23</v>
      </c>
      <c r="G2">
        <f ca="1">AVERAGE(F2:F51)</f>
        <v>246.89959999999999</v>
      </c>
      <c r="H2">
        <f ca="1">MEDIAN(F2:F51)</f>
        <v>243.26999999999998</v>
      </c>
      <c r="J2">
        <v>1</v>
      </c>
      <c r="K2">
        <f ca="1">G2</f>
        <v>246.89959999999999</v>
      </c>
      <c r="L2">
        <f ca="1">H2</f>
        <v>243.26999999999998</v>
      </c>
    </row>
    <row r="3" spans="1:15" x14ac:dyDescent="0.2">
      <c r="A3">
        <v>226.64</v>
      </c>
      <c r="B3" t="s">
        <v>62</v>
      </c>
      <c r="D3">
        <f>MEDIAN(A2:A51)</f>
        <v>236.92500000000001</v>
      </c>
      <c r="F3" cm="1">
        <f t="array" aca="1" ref="F3" ca="1">INDEX($A$2:$A$51, RANDBETWEEN(1,50))</f>
        <v>319.89</v>
      </c>
      <c r="J3">
        <v>2</v>
      </c>
      <c r="K3">
        <f t="dataTable" ref="K3:L1002" dt2D="0" dtr="0" r1="N1" ca="1"/>
        <v>226.01360000000005</v>
      </c>
      <c r="L3">
        <v>226.755</v>
      </c>
      <c r="N3" t="s">
        <v>68</v>
      </c>
      <c r="O3">
        <f ca="1">_xlfn.PERCENTILE.EXC(K2:K1001, 0.025)</f>
        <v>221.38371999999998</v>
      </c>
    </row>
    <row r="4" spans="1:15" x14ac:dyDescent="0.2">
      <c r="A4">
        <v>37.590000000000003</v>
      </c>
      <c r="F4" cm="1">
        <f t="array" aca="1" ref="F4" ca="1">INDEX($A$2:$A$51, RANDBETWEEN(1,50))</f>
        <v>218.94</v>
      </c>
      <c r="J4">
        <v>3</v>
      </c>
      <c r="K4">
        <v>257.62439999999987</v>
      </c>
      <c r="L4">
        <v>250.07</v>
      </c>
      <c r="N4" t="s">
        <v>69</v>
      </c>
      <c r="O4">
        <f ca="1">_xlfn.PERCENTILE.EXC(K2:K1001, 0.975)</f>
        <v>262.05947500000008</v>
      </c>
    </row>
    <row r="5" spans="1:15" x14ac:dyDescent="0.2">
      <c r="A5">
        <v>277.64</v>
      </c>
      <c r="F5" cm="1">
        <f t="array" aca="1" ref="F5" ca="1">INDEX($A$2:$A$51, RANDBETWEEN(1,50))</f>
        <v>218.36</v>
      </c>
      <c r="J5">
        <v>4</v>
      </c>
      <c r="K5">
        <v>232.523</v>
      </c>
      <c r="L5">
        <v>242.82499999999999</v>
      </c>
      <c r="N5" t="s">
        <v>70</v>
      </c>
      <c r="O5">
        <f ca="1">_xlfn.PERCENTILE.EXC(L2:L1001,0.025)</f>
        <v>217.32</v>
      </c>
    </row>
    <row r="6" spans="1:15" x14ac:dyDescent="0.2">
      <c r="A6">
        <v>218.36</v>
      </c>
      <c r="F6" cm="1">
        <f t="array" aca="1" ref="F6" ca="1">INDEX($A$2:$A$51, RANDBETWEEN(1,50))</f>
        <v>176.82</v>
      </c>
      <c r="J6">
        <v>5</v>
      </c>
      <c r="K6">
        <v>237.25499999999997</v>
      </c>
      <c r="L6">
        <v>232</v>
      </c>
      <c r="N6" t="s">
        <v>71</v>
      </c>
      <c r="O6">
        <f ca="1">_xlfn.PERCENTILE.EXC(L2:L1001, 0.975)</f>
        <v>258.95974999999999</v>
      </c>
    </row>
    <row r="7" spans="1:15" x14ac:dyDescent="0.2">
      <c r="A7">
        <v>226.87</v>
      </c>
      <c r="F7" cm="1">
        <f t="array" aca="1" ref="F7" ca="1">INDEX($A$2:$A$51, RANDBETWEEN(1,50))</f>
        <v>216.28</v>
      </c>
      <c r="J7">
        <v>6</v>
      </c>
      <c r="K7">
        <v>244.42479999999995</v>
      </c>
      <c r="L7">
        <v>236.72</v>
      </c>
    </row>
    <row r="8" spans="1:15" x14ac:dyDescent="0.2">
      <c r="A8">
        <v>286.23</v>
      </c>
      <c r="F8" cm="1">
        <f t="array" aca="1" ref="F8" ca="1">INDEX($A$2:$A$51, RANDBETWEEN(1,50))</f>
        <v>258.19</v>
      </c>
      <c r="J8">
        <v>7</v>
      </c>
      <c r="K8">
        <v>227.24220000000003</v>
      </c>
      <c r="L8">
        <v>228.07499999999999</v>
      </c>
    </row>
    <row r="9" spans="1:15" x14ac:dyDescent="0.2">
      <c r="A9">
        <v>236.72</v>
      </c>
      <c r="F9" cm="1">
        <f t="array" aca="1" ref="F9" ca="1">INDEX($A$2:$A$51, RANDBETWEEN(1,50))</f>
        <v>158.02000000000001</v>
      </c>
      <c r="J9">
        <v>8</v>
      </c>
      <c r="K9">
        <v>243.56180000000006</v>
      </c>
      <c r="L9">
        <v>233.20499999999998</v>
      </c>
    </row>
    <row r="10" spans="1:15" x14ac:dyDescent="0.2">
      <c r="A10">
        <v>267.2</v>
      </c>
      <c r="F10" cm="1">
        <f t="array" aca="1" ref="F10" ca="1">INDEX($A$2:$A$51, RANDBETWEEN(1,50))</f>
        <v>164.2</v>
      </c>
      <c r="J10">
        <v>9</v>
      </c>
      <c r="K10">
        <v>241.43279999999999</v>
      </c>
      <c r="L10">
        <v>229.28</v>
      </c>
    </row>
    <row r="11" spans="1:15" x14ac:dyDescent="0.2">
      <c r="A11">
        <v>88.21</v>
      </c>
      <c r="F11" cm="1">
        <f t="array" aca="1" ref="F11" ca="1">INDEX($A$2:$A$51, RANDBETWEEN(1,50))</f>
        <v>164.2</v>
      </c>
      <c r="J11">
        <v>10</v>
      </c>
      <c r="K11">
        <v>229.23560000000001</v>
      </c>
      <c r="L11">
        <v>228.07499999999999</v>
      </c>
    </row>
    <row r="12" spans="1:15" x14ac:dyDescent="0.2">
      <c r="A12">
        <v>174.56</v>
      </c>
      <c r="F12" cm="1">
        <f t="array" aca="1" ref="F12" ca="1">INDEX($A$2:$A$51, RANDBETWEEN(1,50))</f>
        <v>362.32</v>
      </c>
      <c r="J12">
        <v>11</v>
      </c>
      <c r="K12">
        <v>248.66340000000008</v>
      </c>
      <c r="L12">
        <v>249.41</v>
      </c>
    </row>
    <row r="13" spans="1:15" x14ac:dyDescent="0.2">
      <c r="A13">
        <v>362.32</v>
      </c>
      <c r="F13" cm="1">
        <f t="array" aca="1" ref="F13" ca="1">INDEX($A$2:$A$51, RANDBETWEEN(1,50))</f>
        <v>267.2</v>
      </c>
      <c r="J13">
        <v>12</v>
      </c>
      <c r="K13">
        <v>246.50460000000004</v>
      </c>
      <c r="L13">
        <v>243.51499999999999</v>
      </c>
    </row>
    <row r="14" spans="1:15" x14ac:dyDescent="0.2">
      <c r="A14">
        <v>248.52</v>
      </c>
      <c r="F14" cm="1">
        <f t="array" aca="1" ref="F14" ca="1">INDEX($A$2:$A$51, RANDBETWEEN(1,50))</f>
        <v>277.19</v>
      </c>
      <c r="J14">
        <v>13</v>
      </c>
      <c r="K14">
        <v>233.08460000000005</v>
      </c>
      <c r="L14">
        <v>218.65</v>
      </c>
    </row>
    <row r="15" spans="1:15" x14ac:dyDescent="0.2">
      <c r="A15">
        <v>116.12</v>
      </c>
      <c r="F15" cm="1">
        <f t="array" aca="1" ref="F15" ca="1">INDEX($A$2:$A$51, RANDBETWEEN(1,50))</f>
        <v>256.14999999999998</v>
      </c>
      <c r="J15">
        <v>14</v>
      </c>
      <c r="K15">
        <v>251.31219999999993</v>
      </c>
      <c r="L15">
        <v>242.82499999999999</v>
      </c>
    </row>
    <row r="16" spans="1:15" x14ac:dyDescent="0.2">
      <c r="A16">
        <v>164.2</v>
      </c>
      <c r="F16" cm="1">
        <f t="array" aca="1" ref="F16" ca="1">INDEX($A$2:$A$51, RANDBETWEEN(1,50))</f>
        <v>277.19</v>
      </c>
      <c r="J16">
        <v>15</v>
      </c>
      <c r="K16">
        <v>242.41399999999999</v>
      </c>
      <c r="L16">
        <v>250.73</v>
      </c>
    </row>
    <row r="17" spans="1:12" x14ac:dyDescent="0.2">
      <c r="A17">
        <v>170.59</v>
      </c>
      <c r="F17" cm="1">
        <f t="array" aca="1" ref="F17" ca="1">INDEX($A$2:$A$51, RANDBETWEEN(1,50))</f>
        <v>218.36</v>
      </c>
      <c r="J17">
        <v>16</v>
      </c>
      <c r="K17">
        <v>251.11179999999993</v>
      </c>
      <c r="L17">
        <v>254.45999999999998</v>
      </c>
    </row>
    <row r="18" spans="1:12" x14ac:dyDescent="0.2">
      <c r="A18">
        <v>258.19</v>
      </c>
      <c r="F18" cm="1">
        <f t="array" aca="1" ref="F18" ca="1">INDEX($A$2:$A$51, RANDBETWEEN(1,50))</f>
        <v>351.9</v>
      </c>
      <c r="J18">
        <v>17</v>
      </c>
      <c r="K18">
        <v>246.16179999999997</v>
      </c>
      <c r="L18">
        <v>236.92500000000001</v>
      </c>
    </row>
    <row r="19" spans="1:12" x14ac:dyDescent="0.2">
      <c r="A19">
        <v>215.39</v>
      </c>
      <c r="F19" cm="1">
        <f t="array" aca="1" ref="F19" ca="1">INDEX($A$2:$A$51, RANDBETWEEN(1,50))</f>
        <v>236.72</v>
      </c>
      <c r="J19">
        <v>18</v>
      </c>
      <c r="K19">
        <v>237.48420000000004</v>
      </c>
      <c r="L19">
        <v>236.72</v>
      </c>
    </row>
    <row r="20" spans="1:12" x14ac:dyDescent="0.2">
      <c r="A20">
        <v>197.27</v>
      </c>
      <c r="F20" cm="1">
        <f t="array" aca="1" ref="F20" ca="1">INDEX($A$2:$A$51, RANDBETWEEN(1,50))</f>
        <v>360.72</v>
      </c>
      <c r="J20">
        <v>19</v>
      </c>
      <c r="K20">
        <v>237.44459999999998</v>
      </c>
      <c r="L20">
        <v>229.28</v>
      </c>
    </row>
    <row r="21" spans="1:12" x14ac:dyDescent="0.2">
      <c r="A21">
        <v>250.31</v>
      </c>
      <c r="F21" cm="1">
        <f t="array" aca="1" ref="F21" ca="1">INDEX($A$2:$A$51, RANDBETWEEN(1,50))</f>
        <v>311.85000000000002</v>
      </c>
      <c r="J21">
        <v>20</v>
      </c>
      <c r="K21">
        <v>230.45699999999999</v>
      </c>
      <c r="L21">
        <v>218.94</v>
      </c>
    </row>
    <row r="22" spans="1:12" x14ac:dyDescent="0.2">
      <c r="A22">
        <v>288.22000000000003</v>
      </c>
      <c r="F22" cm="1">
        <f t="array" aca="1" ref="F22" ca="1">INDEX($A$2:$A$51, RANDBETWEEN(1,50))</f>
        <v>319.89</v>
      </c>
      <c r="J22">
        <v>21</v>
      </c>
      <c r="K22">
        <v>230.48839999999996</v>
      </c>
      <c r="L22">
        <v>228.07499999999999</v>
      </c>
    </row>
    <row r="23" spans="1:12" x14ac:dyDescent="0.2">
      <c r="A23">
        <v>229.28</v>
      </c>
      <c r="F23" cm="1">
        <f t="array" aca="1" ref="F23" ca="1">INDEX($A$2:$A$51, RANDBETWEEN(1,50))</f>
        <v>37.590000000000003</v>
      </c>
      <c r="J23">
        <v>22</v>
      </c>
      <c r="K23">
        <v>247.58519999999993</v>
      </c>
      <c r="L23">
        <v>237.13</v>
      </c>
    </row>
    <row r="24" spans="1:12" x14ac:dyDescent="0.2">
      <c r="A24">
        <v>204.02</v>
      </c>
      <c r="F24" cm="1">
        <f t="array" aca="1" ref="F24" ca="1">INDEX($A$2:$A$51, RANDBETWEEN(1,50))</f>
        <v>277.19</v>
      </c>
      <c r="J24">
        <v>23</v>
      </c>
      <c r="K24">
        <v>237.20979999999997</v>
      </c>
      <c r="L24">
        <v>228.07499999999999</v>
      </c>
    </row>
    <row r="25" spans="1:12" x14ac:dyDescent="0.2">
      <c r="A25">
        <v>216.28</v>
      </c>
      <c r="F25" cm="1">
        <f t="array" aca="1" ref="F25" ca="1">INDEX($A$2:$A$51, RANDBETWEEN(1,50))</f>
        <v>362.32</v>
      </c>
      <c r="J25">
        <v>24</v>
      </c>
      <c r="K25">
        <v>266.0684</v>
      </c>
      <c r="L25">
        <v>262.69499999999999</v>
      </c>
    </row>
    <row r="26" spans="1:12" x14ac:dyDescent="0.2">
      <c r="A26">
        <v>277.19</v>
      </c>
      <c r="F26" cm="1">
        <f t="array" aca="1" ref="F26" ca="1">INDEX($A$2:$A$51, RANDBETWEEN(1,50))</f>
        <v>116.12</v>
      </c>
      <c r="J26">
        <v>25</v>
      </c>
      <c r="K26">
        <v>237.09899999999999</v>
      </c>
      <c r="L26">
        <v>226.87</v>
      </c>
    </row>
    <row r="27" spans="1:12" x14ac:dyDescent="0.2">
      <c r="A27">
        <v>249.41</v>
      </c>
      <c r="F27" cm="1">
        <f t="array" aca="1" ref="F27" ca="1">INDEX($A$2:$A$51, RANDBETWEEN(1,50))</f>
        <v>236.72</v>
      </c>
      <c r="J27">
        <v>26</v>
      </c>
      <c r="K27">
        <v>229.33980000000003</v>
      </c>
      <c r="L27">
        <v>226.87</v>
      </c>
    </row>
    <row r="28" spans="1:12" x14ac:dyDescent="0.2">
      <c r="A28">
        <v>311.38</v>
      </c>
      <c r="F28" cm="1">
        <f t="array" aca="1" ref="F28" ca="1">INDEX($A$2:$A$51, RANDBETWEEN(1,50))</f>
        <v>237.13</v>
      </c>
      <c r="J28">
        <v>27</v>
      </c>
      <c r="K28">
        <v>246.84080000000009</v>
      </c>
      <c r="L28">
        <v>248.52</v>
      </c>
    </row>
    <row r="29" spans="1:12" x14ac:dyDescent="0.2">
      <c r="A29">
        <v>158.02000000000001</v>
      </c>
      <c r="F29" cm="1">
        <f t="array" aca="1" ref="F29" ca="1">INDEX($A$2:$A$51, RANDBETWEEN(1,50))</f>
        <v>301.93</v>
      </c>
      <c r="J29">
        <v>28</v>
      </c>
      <c r="K29">
        <v>242.43980000000008</v>
      </c>
      <c r="L29">
        <v>231.79500000000002</v>
      </c>
    </row>
    <row r="30" spans="1:12" x14ac:dyDescent="0.2">
      <c r="A30">
        <v>187.97</v>
      </c>
      <c r="F30" cm="1">
        <f t="array" aca="1" ref="F30" ca="1">INDEX($A$2:$A$51, RANDBETWEEN(1,50))</f>
        <v>179.16</v>
      </c>
      <c r="J30">
        <v>29</v>
      </c>
      <c r="K30">
        <v>249.40919999999994</v>
      </c>
      <c r="L30">
        <v>253.23</v>
      </c>
    </row>
    <row r="31" spans="1:12" x14ac:dyDescent="0.2">
      <c r="A31">
        <v>311.85000000000002</v>
      </c>
      <c r="F31" cm="1">
        <f t="array" aca="1" ref="F31" ca="1">INDEX($A$2:$A$51, RANDBETWEEN(1,50))</f>
        <v>249.41</v>
      </c>
      <c r="J31">
        <v>30</v>
      </c>
      <c r="K31">
        <v>234.29800000000006</v>
      </c>
      <c r="L31">
        <v>228.07499999999999</v>
      </c>
    </row>
    <row r="32" spans="1:12" x14ac:dyDescent="0.2">
      <c r="A32">
        <v>185.85</v>
      </c>
      <c r="F32" cm="1">
        <f t="array" aca="1" ref="F32" ca="1">INDEX($A$2:$A$51, RANDBETWEEN(1,50))</f>
        <v>174.56</v>
      </c>
      <c r="J32">
        <v>31</v>
      </c>
      <c r="K32">
        <v>242.18740000000005</v>
      </c>
      <c r="L32">
        <v>233.20499999999998</v>
      </c>
    </row>
    <row r="33" spans="1:12" x14ac:dyDescent="0.2">
      <c r="A33">
        <v>360.72</v>
      </c>
      <c r="F33" cm="1">
        <f t="array" aca="1" ref="F33" ca="1">INDEX($A$2:$A$51, RANDBETWEEN(1,50))</f>
        <v>179.55</v>
      </c>
      <c r="J33">
        <v>32</v>
      </c>
      <c r="K33">
        <v>250.4222</v>
      </c>
      <c r="L33">
        <v>237.13</v>
      </c>
    </row>
    <row r="34" spans="1:12" x14ac:dyDescent="0.2">
      <c r="A34">
        <v>362.42</v>
      </c>
      <c r="F34" cm="1">
        <f t="array" aca="1" ref="F34" ca="1">INDEX($A$2:$A$51, RANDBETWEEN(1,50))</f>
        <v>218.36</v>
      </c>
      <c r="J34">
        <v>33</v>
      </c>
      <c r="K34">
        <v>243.72160000000002</v>
      </c>
      <c r="L34">
        <v>262.69499999999999</v>
      </c>
    </row>
    <row r="35" spans="1:12" x14ac:dyDescent="0.2">
      <c r="A35">
        <v>361.39</v>
      </c>
      <c r="F35" cm="1">
        <f t="array" aca="1" ref="F35" ca="1">INDEX($A$2:$A$51, RANDBETWEEN(1,50))</f>
        <v>323.85000000000002</v>
      </c>
      <c r="J35">
        <v>34</v>
      </c>
      <c r="K35">
        <v>239.23679999999996</v>
      </c>
      <c r="L35">
        <v>231.79500000000002</v>
      </c>
    </row>
    <row r="36" spans="1:12" x14ac:dyDescent="0.2">
      <c r="A36">
        <v>179.55</v>
      </c>
      <c r="F36" cm="1">
        <f t="array" aca="1" ref="F36" ca="1">INDEX($A$2:$A$51, RANDBETWEEN(1,50))</f>
        <v>116.12</v>
      </c>
      <c r="J36">
        <v>35</v>
      </c>
      <c r="K36">
        <v>223.47400000000005</v>
      </c>
      <c r="L36">
        <v>217.32</v>
      </c>
    </row>
    <row r="37" spans="1:12" x14ac:dyDescent="0.2">
      <c r="A37">
        <v>256.14999999999998</v>
      </c>
      <c r="F37" cm="1">
        <f t="array" aca="1" ref="F37" ca="1">INDEX($A$2:$A$51, RANDBETWEEN(1,50))</f>
        <v>256.14999999999998</v>
      </c>
      <c r="J37">
        <v>36</v>
      </c>
      <c r="K37">
        <v>221.54980000000003</v>
      </c>
      <c r="L37">
        <v>217.32</v>
      </c>
    </row>
    <row r="38" spans="1:12" x14ac:dyDescent="0.2">
      <c r="A38">
        <v>210.53</v>
      </c>
      <c r="F38" cm="1">
        <f t="array" aca="1" ref="F38" ca="1">INDEX($A$2:$A$51, RANDBETWEEN(1,50))</f>
        <v>229.28</v>
      </c>
      <c r="J38">
        <v>37</v>
      </c>
      <c r="K38">
        <v>245.09720000000002</v>
      </c>
      <c r="L38">
        <v>228.07499999999999</v>
      </c>
    </row>
    <row r="39" spans="1:12" x14ac:dyDescent="0.2">
      <c r="A39">
        <v>323.85000000000002</v>
      </c>
      <c r="F39" cm="1">
        <f t="array" aca="1" ref="F39" ca="1">INDEX($A$2:$A$51, RANDBETWEEN(1,50))</f>
        <v>362.42</v>
      </c>
      <c r="J39">
        <v>38</v>
      </c>
      <c r="K39">
        <v>259.65639999999996</v>
      </c>
      <c r="L39">
        <v>250.73</v>
      </c>
    </row>
    <row r="40" spans="1:12" x14ac:dyDescent="0.2">
      <c r="A40">
        <v>386.53</v>
      </c>
      <c r="F40" cm="1">
        <f t="array" aca="1" ref="F40" ca="1">INDEX($A$2:$A$51, RANDBETWEEN(1,50))</f>
        <v>311.38</v>
      </c>
      <c r="J40">
        <v>39</v>
      </c>
      <c r="K40">
        <v>241.6816</v>
      </c>
      <c r="L40">
        <v>236.92500000000001</v>
      </c>
    </row>
    <row r="41" spans="1:12" x14ac:dyDescent="0.2">
      <c r="A41">
        <v>319.89</v>
      </c>
      <c r="F41" cm="1">
        <f t="array" aca="1" ref="F41" ca="1">INDEX($A$2:$A$51, RANDBETWEEN(1,50))</f>
        <v>277.19</v>
      </c>
      <c r="J41">
        <v>40</v>
      </c>
      <c r="K41">
        <v>249.7962</v>
      </c>
      <c r="L41">
        <v>248.52</v>
      </c>
    </row>
    <row r="42" spans="1:12" x14ac:dyDescent="0.2">
      <c r="A42">
        <v>250.73</v>
      </c>
      <c r="F42" cm="1">
        <f t="array" aca="1" ref="F42" ca="1">INDEX($A$2:$A$51, RANDBETWEEN(1,50))</f>
        <v>226.64</v>
      </c>
      <c r="J42">
        <v>41</v>
      </c>
      <c r="K42">
        <v>228.32200000000003</v>
      </c>
      <c r="L42">
        <v>223.7</v>
      </c>
    </row>
    <row r="43" spans="1:12" x14ac:dyDescent="0.2">
      <c r="A43">
        <v>220.76</v>
      </c>
      <c r="F43" cm="1">
        <f t="array" aca="1" ref="F43" ca="1">INDEX($A$2:$A$51, RANDBETWEEN(1,50))</f>
        <v>237.13</v>
      </c>
      <c r="J43">
        <v>42</v>
      </c>
      <c r="K43">
        <v>229.91679999999999</v>
      </c>
      <c r="L43">
        <v>242.62</v>
      </c>
    </row>
    <row r="44" spans="1:12" x14ac:dyDescent="0.2">
      <c r="A44">
        <v>301.93</v>
      </c>
      <c r="F44" cm="1">
        <f t="array" aca="1" ref="F44" ca="1">INDEX($A$2:$A$51, RANDBETWEEN(1,50))</f>
        <v>197.27</v>
      </c>
      <c r="J44">
        <v>43</v>
      </c>
      <c r="K44">
        <v>239.60400000000004</v>
      </c>
      <c r="L44">
        <v>229.28</v>
      </c>
    </row>
    <row r="45" spans="1:12" x14ac:dyDescent="0.2">
      <c r="A45">
        <v>152.16999999999999</v>
      </c>
      <c r="F45" cm="1">
        <f t="array" aca="1" ref="F45" ca="1">INDEX($A$2:$A$51, RANDBETWEEN(1,50))</f>
        <v>311.85000000000002</v>
      </c>
      <c r="J45">
        <v>44</v>
      </c>
      <c r="K45">
        <v>231.40300000000008</v>
      </c>
      <c r="L45">
        <v>228.07499999999999</v>
      </c>
    </row>
    <row r="46" spans="1:12" x14ac:dyDescent="0.2">
      <c r="A46">
        <v>292.91000000000003</v>
      </c>
      <c r="F46" cm="1">
        <f t="array" aca="1" ref="F46" ca="1">INDEX($A$2:$A$51, RANDBETWEEN(1,50))</f>
        <v>250.31</v>
      </c>
      <c r="J46">
        <v>45</v>
      </c>
      <c r="K46">
        <v>233.01380000000006</v>
      </c>
      <c r="L46">
        <v>226.755</v>
      </c>
    </row>
    <row r="47" spans="1:12" x14ac:dyDescent="0.2">
      <c r="A47">
        <v>176.82</v>
      </c>
      <c r="F47" cm="1">
        <f t="array" aca="1" ref="F47" ca="1">INDEX($A$2:$A$51, RANDBETWEEN(1,50))</f>
        <v>361.39</v>
      </c>
      <c r="J47">
        <v>46</v>
      </c>
      <c r="K47">
        <v>238.21440000000007</v>
      </c>
      <c r="L47">
        <v>226.87</v>
      </c>
    </row>
    <row r="48" spans="1:12" x14ac:dyDescent="0.2">
      <c r="A48">
        <v>299.64</v>
      </c>
      <c r="F48" cm="1">
        <f t="array" aca="1" ref="F48" ca="1">INDEX($A$2:$A$51, RANDBETWEEN(1,50))</f>
        <v>220.76</v>
      </c>
      <c r="J48">
        <v>47</v>
      </c>
      <c r="K48">
        <v>229.02860000000004</v>
      </c>
      <c r="L48">
        <v>236.72</v>
      </c>
    </row>
    <row r="49" spans="1:12" x14ac:dyDescent="0.2">
      <c r="A49">
        <v>237.13</v>
      </c>
      <c r="F49" cm="1">
        <f t="array" aca="1" ref="F49" ca="1">INDEX($A$2:$A$51, RANDBETWEEN(1,50))</f>
        <v>277.64</v>
      </c>
      <c r="J49">
        <v>48</v>
      </c>
      <c r="K49">
        <v>231.36320000000006</v>
      </c>
      <c r="L49">
        <v>223.7</v>
      </c>
    </row>
    <row r="50" spans="1:12" x14ac:dyDescent="0.2">
      <c r="A50">
        <v>218.94</v>
      </c>
      <c r="F50" cm="1">
        <f t="array" aca="1" ref="F50" ca="1">INDEX($A$2:$A$51, RANDBETWEEN(1,50))</f>
        <v>215.39</v>
      </c>
      <c r="J50">
        <v>49</v>
      </c>
      <c r="K50">
        <v>242.20219999999998</v>
      </c>
      <c r="L50">
        <v>249.86</v>
      </c>
    </row>
    <row r="51" spans="1:12" x14ac:dyDescent="0.2">
      <c r="A51">
        <v>179.16</v>
      </c>
      <c r="F51" cm="1">
        <f t="array" aca="1" ref="F51" ca="1">INDEX($A$2:$A$51, RANDBETWEEN(1,50))</f>
        <v>179.55</v>
      </c>
      <c r="J51">
        <v>50</v>
      </c>
      <c r="K51">
        <v>254.06240000000005</v>
      </c>
      <c r="L51">
        <v>249.41</v>
      </c>
    </row>
    <row r="52" spans="1:12" x14ac:dyDescent="0.2">
      <c r="J52">
        <v>51</v>
      </c>
      <c r="K52">
        <v>226.48240000000001</v>
      </c>
      <c r="L52">
        <v>227.95999999999998</v>
      </c>
    </row>
    <row r="53" spans="1:12" x14ac:dyDescent="0.2">
      <c r="J53">
        <v>52</v>
      </c>
      <c r="K53">
        <v>241.36660000000003</v>
      </c>
      <c r="L53">
        <v>226.755</v>
      </c>
    </row>
    <row r="54" spans="1:12" x14ac:dyDescent="0.2">
      <c r="J54">
        <v>53</v>
      </c>
      <c r="K54">
        <v>227.87539999999998</v>
      </c>
      <c r="L54">
        <v>222.79</v>
      </c>
    </row>
    <row r="55" spans="1:12" x14ac:dyDescent="0.2">
      <c r="J55">
        <v>54</v>
      </c>
      <c r="K55">
        <v>234.90579999999997</v>
      </c>
      <c r="L55">
        <v>236.72</v>
      </c>
    </row>
    <row r="56" spans="1:12" x14ac:dyDescent="0.2">
      <c r="J56">
        <v>55</v>
      </c>
      <c r="K56">
        <v>250.62699999999998</v>
      </c>
      <c r="L56">
        <v>249.41500000000002</v>
      </c>
    </row>
    <row r="57" spans="1:12" x14ac:dyDescent="0.2">
      <c r="J57">
        <v>56</v>
      </c>
      <c r="K57">
        <v>233.38540000000009</v>
      </c>
      <c r="L57">
        <v>220.76</v>
      </c>
    </row>
    <row r="58" spans="1:12" x14ac:dyDescent="0.2">
      <c r="J58">
        <v>57</v>
      </c>
      <c r="K58">
        <v>233.69260000000003</v>
      </c>
      <c r="L58">
        <v>236.92500000000001</v>
      </c>
    </row>
    <row r="59" spans="1:12" x14ac:dyDescent="0.2">
      <c r="J59">
        <v>58</v>
      </c>
      <c r="K59">
        <v>259.18200000000007</v>
      </c>
      <c r="L59">
        <v>253.44</v>
      </c>
    </row>
    <row r="60" spans="1:12" x14ac:dyDescent="0.2">
      <c r="J60">
        <v>59</v>
      </c>
      <c r="K60">
        <v>256.93039999999991</v>
      </c>
      <c r="L60">
        <v>249.86</v>
      </c>
    </row>
    <row r="61" spans="1:12" x14ac:dyDescent="0.2">
      <c r="J61">
        <v>60</v>
      </c>
      <c r="K61">
        <v>235.38819999999996</v>
      </c>
      <c r="L61">
        <v>226.64</v>
      </c>
    </row>
    <row r="62" spans="1:12" x14ac:dyDescent="0.2">
      <c r="J62">
        <v>61</v>
      </c>
      <c r="K62">
        <v>237.36420000000012</v>
      </c>
      <c r="L62">
        <v>236.92500000000001</v>
      </c>
    </row>
    <row r="63" spans="1:12" x14ac:dyDescent="0.2">
      <c r="J63">
        <v>62</v>
      </c>
      <c r="K63">
        <v>249.74299999999999</v>
      </c>
      <c r="L63">
        <v>250.73</v>
      </c>
    </row>
    <row r="64" spans="1:12" x14ac:dyDescent="0.2">
      <c r="J64">
        <v>63</v>
      </c>
      <c r="K64">
        <v>253.13359999999997</v>
      </c>
      <c r="L64">
        <v>248.52</v>
      </c>
    </row>
    <row r="65" spans="10:12" x14ac:dyDescent="0.2">
      <c r="J65">
        <v>64</v>
      </c>
      <c r="K65">
        <v>234.52060000000009</v>
      </c>
      <c r="L65">
        <v>228.07499999999999</v>
      </c>
    </row>
    <row r="66" spans="10:12" x14ac:dyDescent="0.2">
      <c r="J66">
        <v>65</v>
      </c>
      <c r="K66">
        <v>241.07600000000005</v>
      </c>
      <c r="L66">
        <v>249.41</v>
      </c>
    </row>
    <row r="67" spans="10:12" x14ac:dyDescent="0.2">
      <c r="J67">
        <v>66</v>
      </c>
      <c r="K67">
        <v>235.33520000000016</v>
      </c>
      <c r="L67">
        <v>226.87</v>
      </c>
    </row>
    <row r="68" spans="10:12" x14ac:dyDescent="0.2">
      <c r="J68">
        <v>67</v>
      </c>
      <c r="K68">
        <v>255.89700000000002</v>
      </c>
      <c r="L68">
        <v>252.77999999999997</v>
      </c>
    </row>
    <row r="69" spans="10:12" x14ac:dyDescent="0.2">
      <c r="J69">
        <v>68</v>
      </c>
      <c r="K69">
        <v>241.07260000000002</v>
      </c>
      <c r="L69">
        <v>242.82499999999999</v>
      </c>
    </row>
    <row r="70" spans="10:12" x14ac:dyDescent="0.2">
      <c r="J70">
        <v>69</v>
      </c>
      <c r="K70">
        <v>238.32559999999995</v>
      </c>
      <c r="L70">
        <v>219.85</v>
      </c>
    </row>
    <row r="71" spans="10:12" x14ac:dyDescent="0.2">
      <c r="J71">
        <v>70</v>
      </c>
      <c r="K71">
        <v>245.14080000000004</v>
      </c>
      <c r="L71">
        <v>242.82499999999999</v>
      </c>
    </row>
    <row r="72" spans="10:12" x14ac:dyDescent="0.2">
      <c r="J72">
        <v>71</v>
      </c>
      <c r="K72">
        <v>235.53579999999994</v>
      </c>
      <c r="L72">
        <v>222.79</v>
      </c>
    </row>
    <row r="73" spans="10:12" x14ac:dyDescent="0.2">
      <c r="J73">
        <v>72</v>
      </c>
      <c r="K73">
        <v>235.9080000000001</v>
      </c>
      <c r="L73">
        <v>226.755</v>
      </c>
    </row>
    <row r="74" spans="10:12" x14ac:dyDescent="0.2">
      <c r="J74">
        <v>73</v>
      </c>
      <c r="K74">
        <v>236.94599999999994</v>
      </c>
      <c r="L74">
        <v>248.52</v>
      </c>
    </row>
    <row r="75" spans="10:12" x14ac:dyDescent="0.2">
      <c r="J75">
        <v>74</v>
      </c>
      <c r="K75">
        <v>254.50580000000002</v>
      </c>
      <c r="L75">
        <v>248.965</v>
      </c>
    </row>
    <row r="76" spans="10:12" x14ac:dyDescent="0.2">
      <c r="J76">
        <v>75</v>
      </c>
      <c r="K76">
        <v>246.41159999999996</v>
      </c>
      <c r="L76">
        <v>237.13</v>
      </c>
    </row>
    <row r="77" spans="10:12" x14ac:dyDescent="0.2">
      <c r="J77">
        <v>76</v>
      </c>
      <c r="K77">
        <v>268.38359999999994</v>
      </c>
      <c r="L77">
        <v>272.19499999999999</v>
      </c>
    </row>
    <row r="78" spans="10:12" x14ac:dyDescent="0.2">
      <c r="J78">
        <v>77</v>
      </c>
      <c r="K78">
        <v>244.59960000000004</v>
      </c>
      <c r="L78">
        <v>248.965</v>
      </c>
    </row>
    <row r="79" spans="10:12" x14ac:dyDescent="0.2">
      <c r="J79">
        <v>78</v>
      </c>
      <c r="K79">
        <v>212.31060000000008</v>
      </c>
      <c r="L79">
        <v>217.61</v>
      </c>
    </row>
    <row r="80" spans="10:12" x14ac:dyDescent="0.2">
      <c r="J80">
        <v>79</v>
      </c>
      <c r="K80">
        <v>255.01179999999997</v>
      </c>
      <c r="L80">
        <v>248.52</v>
      </c>
    </row>
    <row r="81" spans="10:12" x14ac:dyDescent="0.2">
      <c r="J81">
        <v>80</v>
      </c>
      <c r="K81">
        <v>238.43320000000003</v>
      </c>
      <c r="L81">
        <v>242.82499999999999</v>
      </c>
    </row>
    <row r="82" spans="10:12" x14ac:dyDescent="0.2">
      <c r="J82">
        <v>81</v>
      </c>
      <c r="K82">
        <v>228.29599999999994</v>
      </c>
      <c r="L82">
        <v>220.76</v>
      </c>
    </row>
    <row r="83" spans="10:12" x14ac:dyDescent="0.2">
      <c r="J83">
        <v>82</v>
      </c>
      <c r="K83">
        <v>231.04420000000002</v>
      </c>
      <c r="L83">
        <v>228.07499999999999</v>
      </c>
    </row>
    <row r="84" spans="10:12" x14ac:dyDescent="0.2">
      <c r="J84">
        <v>83</v>
      </c>
      <c r="K84">
        <v>231.50699999999998</v>
      </c>
      <c r="L84">
        <v>223.815</v>
      </c>
    </row>
    <row r="85" spans="10:12" x14ac:dyDescent="0.2">
      <c r="J85">
        <v>84</v>
      </c>
      <c r="K85">
        <v>240.49320000000003</v>
      </c>
      <c r="L85">
        <v>236.72</v>
      </c>
    </row>
    <row r="86" spans="10:12" x14ac:dyDescent="0.2">
      <c r="J86">
        <v>85</v>
      </c>
      <c r="K86">
        <v>232.94400000000007</v>
      </c>
      <c r="L86">
        <v>228.07499999999999</v>
      </c>
    </row>
    <row r="87" spans="10:12" x14ac:dyDescent="0.2">
      <c r="J87">
        <v>86</v>
      </c>
      <c r="K87">
        <v>237.78380000000007</v>
      </c>
      <c r="L87">
        <v>233.20499999999998</v>
      </c>
    </row>
    <row r="88" spans="10:12" x14ac:dyDescent="0.2">
      <c r="J88">
        <v>87</v>
      </c>
      <c r="K88">
        <v>231.39780000000002</v>
      </c>
      <c r="L88">
        <v>228.07499999999999</v>
      </c>
    </row>
    <row r="89" spans="10:12" x14ac:dyDescent="0.2">
      <c r="J89">
        <v>88</v>
      </c>
      <c r="K89">
        <v>246.60959999999994</v>
      </c>
      <c r="L89">
        <v>242.82499999999999</v>
      </c>
    </row>
    <row r="90" spans="10:12" x14ac:dyDescent="0.2">
      <c r="J90">
        <v>89</v>
      </c>
      <c r="K90">
        <v>247.76899999999998</v>
      </c>
      <c r="L90">
        <v>243.26999999999998</v>
      </c>
    </row>
    <row r="91" spans="10:12" x14ac:dyDescent="0.2">
      <c r="J91">
        <v>90</v>
      </c>
      <c r="K91">
        <v>241.4332</v>
      </c>
      <c r="L91">
        <v>228.07499999999999</v>
      </c>
    </row>
    <row r="92" spans="10:12" x14ac:dyDescent="0.2">
      <c r="J92">
        <v>91</v>
      </c>
      <c r="K92">
        <v>240.80880000000002</v>
      </c>
      <c r="L92">
        <v>223.815</v>
      </c>
    </row>
    <row r="93" spans="10:12" x14ac:dyDescent="0.2">
      <c r="J93">
        <v>92</v>
      </c>
      <c r="K93">
        <v>254.63100000000003</v>
      </c>
      <c r="L93">
        <v>250.07</v>
      </c>
    </row>
    <row r="94" spans="10:12" x14ac:dyDescent="0.2">
      <c r="J94">
        <v>93</v>
      </c>
      <c r="K94">
        <v>241.93819999999994</v>
      </c>
      <c r="L94">
        <v>242.82499999999999</v>
      </c>
    </row>
    <row r="95" spans="10:12" x14ac:dyDescent="0.2">
      <c r="J95">
        <v>94</v>
      </c>
      <c r="K95">
        <v>251.50639999999996</v>
      </c>
      <c r="L95">
        <v>250.51999999999998</v>
      </c>
    </row>
    <row r="96" spans="10:12" x14ac:dyDescent="0.2">
      <c r="J96">
        <v>95</v>
      </c>
      <c r="K96">
        <v>220.58539999999996</v>
      </c>
      <c r="L96">
        <v>226.755</v>
      </c>
    </row>
    <row r="97" spans="10:12" x14ac:dyDescent="0.2">
      <c r="J97">
        <v>96</v>
      </c>
      <c r="K97">
        <v>244.13139999999999</v>
      </c>
      <c r="L97">
        <v>243.93</v>
      </c>
    </row>
    <row r="98" spans="10:12" x14ac:dyDescent="0.2">
      <c r="J98">
        <v>97</v>
      </c>
      <c r="K98">
        <v>263.23840000000001</v>
      </c>
      <c r="L98">
        <v>253.44</v>
      </c>
    </row>
    <row r="99" spans="10:12" x14ac:dyDescent="0.2">
      <c r="J99">
        <v>98</v>
      </c>
      <c r="K99">
        <v>237.14559999999997</v>
      </c>
      <c r="L99">
        <v>233</v>
      </c>
    </row>
    <row r="100" spans="10:12" x14ac:dyDescent="0.2">
      <c r="J100">
        <v>99</v>
      </c>
      <c r="K100">
        <v>223.99340000000012</v>
      </c>
      <c r="L100">
        <v>226.87</v>
      </c>
    </row>
    <row r="101" spans="10:12" x14ac:dyDescent="0.2">
      <c r="J101">
        <v>100</v>
      </c>
      <c r="K101">
        <v>247.33820000000003</v>
      </c>
      <c r="L101">
        <v>236.92500000000001</v>
      </c>
    </row>
    <row r="102" spans="10:12" x14ac:dyDescent="0.2">
      <c r="J102">
        <v>101</v>
      </c>
      <c r="K102">
        <v>247.17440000000005</v>
      </c>
      <c r="L102">
        <v>249.625</v>
      </c>
    </row>
    <row r="103" spans="10:12" x14ac:dyDescent="0.2">
      <c r="J103">
        <v>102</v>
      </c>
      <c r="K103">
        <v>248.20259999999999</v>
      </c>
      <c r="L103">
        <v>231.68</v>
      </c>
    </row>
    <row r="104" spans="10:12" x14ac:dyDescent="0.2">
      <c r="J104">
        <v>103</v>
      </c>
      <c r="K104">
        <v>227.93420000000003</v>
      </c>
      <c r="L104">
        <v>217.61</v>
      </c>
    </row>
    <row r="105" spans="10:12" x14ac:dyDescent="0.2">
      <c r="J105">
        <v>104</v>
      </c>
      <c r="K105">
        <v>234.05620000000008</v>
      </c>
      <c r="L105">
        <v>231.68</v>
      </c>
    </row>
    <row r="106" spans="10:12" x14ac:dyDescent="0.2">
      <c r="J106">
        <v>105</v>
      </c>
      <c r="K106">
        <v>232.89720000000005</v>
      </c>
      <c r="L106">
        <v>228.07499999999999</v>
      </c>
    </row>
    <row r="107" spans="10:12" x14ac:dyDescent="0.2">
      <c r="J107">
        <v>106</v>
      </c>
      <c r="K107">
        <v>254.64739999999995</v>
      </c>
      <c r="L107">
        <v>237.13</v>
      </c>
    </row>
    <row r="108" spans="10:12" x14ac:dyDescent="0.2">
      <c r="J108">
        <v>107</v>
      </c>
      <c r="K108">
        <v>225.85120000000003</v>
      </c>
      <c r="L108">
        <v>226.87</v>
      </c>
    </row>
    <row r="109" spans="10:12" x14ac:dyDescent="0.2">
      <c r="J109">
        <v>108</v>
      </c>
      <c r="K109">
        <v>260.60039999999992</v>
      </c>
      <c r="L109">
        <v>258.19</v>
      </c>
    </row>
    <row r="110" spans="10:12" x14ac:dyDescent="0.2">
      <c r="J110">
        <v>109</v>
      </c>
      <c r="K110">
        <v>233.9778</v>
      </c>
      <c r="L110">
        <v>219.85</v>
      </c>
    </row>
    <row r="111" spans="10:12" x14ac:dyDescent="0.2">
      <c r="J111">
        <v>110</v>
      </c>
      <c r="K111">
        <v>237.44139999999999</v>
      </c>
      <c r="L111">
        <v>227.95999999999998</v>
      </c>
    </row>
    <row r="112" spans="10:12" x14ac:dyDescent="0.2">
      <c r="J112">
        <v>111</v>
      </c>
      <c r="K112">
        <v>239.79260000000005</v>
      </c>
      <c r="L112">
        <v>237.13</v>
      </c>
    </row>
    <row r="113" spans="10:12" x14ac:dyDescent="0.2">
      <c r="J113">
        <v>112</v>
      </c>
      <c r="K113">
        <v>249.22359999999992</v>
      </c>
      <c r="L113">
        <v>250.51999999999998</v>
      </c>
    </row>
    <row r="114" spans="10:12" x14ac:dyDescent="0.2">
      <c r="J114">
        <v>113</v>
      </c>
      <c r="K114">
        <v>238.52679999999998</v>
      </c>
      <c r="L114">
        <v>243.065</v>
      </c>
    </row>
    <row r="115" spans="10:12" x14ac:dyDescent="0.2">
      <c r="J115">
        <v>114</v>
      </c>
      <c r="K115">
        <v>233.12440000000012</v>
      </c>
      <c r="L115">
        <v>215.83499999999998</v>
      </c>
    </row>
    <row r="116" spans="10:12" x14ac:dyDescent="0.2">
      <c r="J116">
        <v>115</v>
      </c>
      <c r="K116">
        <v>237.98860000000002</v>
      </c>
      <c r="L116">
        <v>236.92500000000001</v>
      </c>
    </row>
    <row r="117" spans="10:12" x14ac:dyDescent="0.2">
      <c r="J117">
        <v>116</v>
      </c>
      <c r="K117">
        <v>249.27240000000009</v>
      </c>
      <c r="L117">
        <v>248.52</v>
      </c>
    </row>
    <row r="118" spans="10:12" x14ac:dyDescent="0.2">
      <c r="J118">
        <v>117</v>
      </c>
      <c r="K118">
        <v>244.55239999999992</v>
      </c>
      <c r="L118">
        <v>249.86</v>
      </c>
    </row>
    <row r="119" spans="10:12" x14ac:dyDescent="0.2">
      <c r="J119">
        <v>118</v>
      </c>
      <c r="K119">
        <v>248.22760000000002</v>
      </c>
      <c r="L119">
        <v>233.20499999999998</v>
      </c>
    </row>
    <row r="120" spans="10:12" x14ac:dyDescent="0.2">
      <c r="J120">
        <v>119</v>
      </c>
      <c r="K120">
        <v>215.25819999999999</v>
      </c>
      <c r="L120">
        <v>207.27500000000001</v>
      </c>
    </row>
    <row r="121" spans="10:12" x14ac:dyDescent="0.2">
      <c r="J121">
        <v>120</v>
      </c>
      <c r="K121">
        <v>228.98820000000001</v>
      </c>
      <c r="L121">
        <v>223.7</v>
      </c>
    </row>
    <row r="122" spans="10:12" x14ac:dyDescent="0.2">
      <c r="J122">
        <v>121</v>
      </c>
      <c r="K122">
        <v>238.15180000000004</v>
      </c>
      <c r="L122">
        <v>231.79500000000002</v>
      </c>
    </row>
    <row r="123" spans="10:12" x14ac:dyDescent="0.2">
      <c r="J123">
        <v>122</v>
      </c>
      <c r="K123">
        <v>257.43599999999992</v>
      </c>
      <c r="L123">
        <v>253.44</v>
      </c>
    </row>
    <row r="124" spans="10:12" x14ac:dyDescent="0.2">
      <c r="J124">
        <v>123</v>
      </c>
      <c r="K124">
        <v>239.81100000000004</v>
      </c>
      <c r="L124">
        <v>242.62</v>
      </c>
    </row>
    <row r="125" spans="10:12" x14ac:dyDescent="0.2">
      <c r="J125">
        <v>124</v>
      </c>
      <c r="K125">
        <v>265.93259999999992</v>
      </c>
      <c r="L125">
        <v>250.51999999999998</v>
      </c>
    </row>
    <row r="126" spans="10:12" x14ac:dyDescent="0.2">
      <c r="J126">
        <v>125</v>
      </c>
      <c r="K126">
        <v>252.35580000000002</v>
      </c>
      <c r="L126">
        <v>249.86</v>
      </c>
    </row>
    <row r="127" spans="10:12" x14ac:dyDescent="0.2">
      <c r="J127">
        <v>126</v>
      </c>
      <c r="K127">
        <v>244.37619999999995</v>
      </c>
      <c r="L127">
        <v>228.07499999999999</v>
      </c>
    </row>
    <row r="128" spans="10:12" x14ac:dyDescent="0.2">
      <c r="J128">
        <v>127</v>
      </c>
      <c r="K128">
        <v>236.3308000000001</v>
      </c>
      <c r="L128">
        <v>224.11</v>
      </c>
    </row>
    <row r="129" spans="10:12" x14ac:dyDescent="0.2">
      <c r="J129">
        <v>128</v>
      </c>
      <c r="K129">
        <v>258.92180000000002</v>
      </c>
      <c r="L129">
        <v>257.16999999999996</v>
      </c>
    </row>
    <row r="130" spans="10:12" x14ac:dyDescent="0.2">
      <c r="J130">
        <v>129</v>
      </c>
      <c r="K130">
        <v>241.89400000000006</v>
      </c>
      <c r="L130">
        <v>237.13</v>
      </c>
    </row>
    <row r="131" spans="10:12" x14ac:dyDescent="0.2">
      <c r="J131">
        <v>130</v>
      </c>
      <c r="K131">
        <v>226.01979999999995</v>
      </c>
      <c r="L131">
        <v>226.755</v>
      </c>
    </row>
    <row r="132" spans="10:12" x14ac:dyDescent="0.2">
      <c r="J132">
        <v>131</v>
      </c>
      <c r="K132">
        <v>254.50400000000005</v>
      </c>
      <c r="L132">
        <v>250.31</v>
      </c>
    </row>
    <row r="133" spans="10:12" x14ac:dyDescent="0.2">
      <c r="J133">
        <v>132</v>
      </c>
      <c r="K133">
        <v>250.1110000000001</v>
      </c>
      <c r="L133">
        <v>249.625</v>
      </c>
    </row>
    <row r="134" spans="10:12" x14ac:dyDescent="0.2">
      <c r="J134">
        <v>133</v>
      </c>
      <c r="K134">
        <v>258.23380000000003</v>
      </c>
      <c r="L134">
        <v>257.16999999999996</v>
      </c>
    </row>
    <row r="135" spans="10:12" x14ac:dyDescent="0.2">
      <c r="J135">
        <v>134</v>
      </c>
      <c r="K135">
        <v>251.33760000000007</v>
      </c>
      <c r="L135">
        <v>242.82499999999999</v>
      </c>
    </row>
    <row r="136" spans="10:12" x14ac:dyDescent="0.2">
      <c r="J136">
        <v>135</v>
      </c>
      <c r="K136">
        <v>240.80299999999997</v>
      </c>
      <c r="L136">
        <v>248.52</v>
      </c>
    </row>
    <row r="137" spans="10:12" x14ac:dyDescent="0.2">
      <c r="J137">
        <v>136</v>
      </c>
      <c r="K137">
        <v>253.40880000000004</v>
      </c>
      <c r="L137">
        <v>243.26999999999998</v>
      </c>
    </row>
    <row r="138" spans="10:12" x14ac:dyDescent="0.2">
      <c r="J138">
        <v>137</v>
      </c>
      <c r="K138">
        <v>231.94480000000004</v>
      </c>
      <c r="L138">
        <v>217.61</v>
      </c>
    </row>
    <row r="139" spans="10:12" x14ac:dyDescent="0.2">
      <c r="J139">
        <v>138</v>
      </c>
      <c r="K139">
        <v>224.82699999999997</v>
      </c>
      <c r="L139">
        <v>220.76</v>
      </c>
    </row>
    <row r="140" spans="10:12" x14ac:dyDescent="0.2">
      <c r="J140">
        <v>139</v>
      </c>
      <c r="K140">
        <v>227.68159999999997</v>
      </c>
      <c r="L140">
        <v>219.85</v>
      </c>
    </row>
    <row r="141" spans="10:12" x14ac:dyDescent="0.2">
      <c r="J141">
        <v>140</v>
      </c>
      <c r="K141">
        <v>257.71699999999998</v>
      </c>
      <c r="L141">
        <v>250.73</v>
      </c>
    </row>
    <row r="142" spans="10:12" x14ac:dyDescent="0.2">
      <c r="J142">
        <v>141</v>
      </c>
      <c r="K142">
        <v>253.71520000000001</v>
      </c>
      <c r="L142">
        <v>248.52</v>
      </c>
    </row>
    <row r="143" spans="10:12" x14ac:dyDescent="0.2">
      <c r="J143">
        <v>142</v>
      </c>
      <c r="K143">
        <v>243.43679999999998</v>
      </c>
      <c r="L143">
        <v>242.82499999999999</v>
      </c>
    </row>
    <row r="144" spans="10:12" x14ac:dyDescent="0.2">
      <c r="J144">
        <v>143</v>
      </c>
      <c r="K144">
        <v>239.91279999999998</v>
      </c>
      <c r="L144">
        <v>237.13</v>
      </c>
    </row>
    <row r="145" spans="10:12" x14ac:dyDescent="0.2">
      <c r="J145">
        <v>144</v>
      </c>
      <c r="K145">
        <v>247.64399999999998</v>
      </c>
      <c r="L145">
        <v>250.07</v>
      </c>
    </row>
    <row r="146" spans="10:12" x14ac:dyDescent="0.2">
      <c r="J146">
        <v>145</v>
      </c>
      <c r="K146">
        <v>252.94340000000003</v>
      </c>
      <c r="L146">
        <v>253.44</v>
      </c>
    </row>
    <row r="147" spans="10:12" x14ac:dyDescent="0.2">
      <c r="J147">
        <v>146</v>
      </c>
      <c r="K147">
        <v>254.56540000000004</v>
      </c>
      <c r="L147">
        <v>250.31</v>
      </c>
    </row>
    <row r="148" spans="10:12" x14ac:dyDescent="0.2">
      <c r="J148">
        <v>147</v>
      </c>
      <c r="K148">
        <v>233.06099999999998</v>
      </c>
      <c r="L148">
        <v>231.79500000000002</v>
      </c>
    </row>
    <row r="149" spans="10:12" x14ac:dyDescent="0.2">
      <c r="J149">
        <v>148</v>
      </c>
      <c r="K149">
        <v>247.77760000000009</v>
      </c>
      <c r="L149">
        <v>242.82499999999999</v>
      </c>
    </row>
    <row r="150" spans="10:12" x14ac:dyDescent="0.2">
      <c r="J150">
        <v>149</v>
      </c>
      <c r="K150">
        <v>234.89960000000008</v>
      </c>
      <c r="L150">
        <v>242.82499999999999</v>
      </c>
    </row>
    <row r="151" spans="10:12" x14ac:dyDescent="0.2">
      <c r="J151">
        <v>150</v>
      </c>
      <c r="K151">
        <v>246.05779999999999</v>
      </c>
      <c r="L151">
        <v>248.52</v>
      </c>
    </row>
    <row r="152" spans="10:12" x14ac:dyDescent="0.2">
      <c r="J152">
        <v>151</v>
      </c>
      <c r="K152">
        <v>234.55680000000001</v>
      </c>
      <c r="L152">
        <v>237.13</v>
      </c>
    </row>
    <row r="153" spans="10:12" x14ac:dyDescent="0.2">
      <c r="J153">
        <v>152</v>
      </c>
      <c r="K153">
        <v>253.24419999999995</v>
      </c>
      <c r="L153">
        <v>236.92500000000001</v>
      </c>
    </row>
    <row r="154" spans="10:12" x14ac:dyDescent="0.2">
      <c r="J154">
        <v>153</v>
      </c>
      <c r="K154">
        <v>252.3784</v>
      </c>
      <c r="L154">
        <v>242.82499999999999</v>
      </c>
    </row>
    <row r="155" spans="10:12" x14ac:dyDescent="0.2">
      <c r="J155">
        <v>154</v>
      </c>
      <c r="K155">
        <v>236.42420000000001</v>
      </c>
      <c r="L155">
        <v>223.815</v>
      </c>
    </row>
    <row r="156" spans="10:12" x14ac:dyDescent="0.2">
      <c r="J156">
        <v>155</v>
      </c>
      <c r="K156">
        <v>239.33959999999999</v>
      </c>
      <c r="L156">
        <v>236.92500000000001</v>
      </c>
    </row>
    <row r="157" spans="10:12" x14ac:dyDescent="0.2">
      <c r="J157">
        <v>156</v>
      </c>
      <c r="K157">
        <v>249.46179999999993</v>
      </c>
      <c r="L157">
        <v>236.92500000000001</v>
      </c>
    </row>
    <row r="158" spans="10:12" x14ac:dyDescent="0.2">
      <c r="J158">
        <v>157</v>
      </c>
      <c r="K158">
        <v>251.66319999999996</v>
      </c>
      <c r="L158">
        <v>250.51999999999998</v>
      </c>
    </row>
    <row r="159" spans="10:12" x14ac:dyDescent="0.2">
      <c r="J159">
        <v>158</v>
      </c>
      <c r="K159">
        <v>242.96240000000012</v>
      </c>
      <c r="L159">
        <v>228.07499999999999</v>
      </c>
    </row>
    <row r="160" spans="10:12" x14ac:dyDescent="0.2">
      <c r="J160">
        <v>159</v>
      </c>
      <c r="K160">
        <v>246.01739999999998</v>
      </c>
      <c r="L160">
        <v>249.41500000000002</v>
      </c>
    </row>
    <row r="161" spans="10:12" x14ac:dyDescent="0.2">
      <c r="J161">
        <v>160</v>
      </c>
      <c r="K161">
        <v>248.98920000000007</v>
      </c>
      <c r="L161">
        <v>242.82499999999999</v>
      </c>
    </row>
    <row r="162" spans="10:12" x14ac:dyDescent="0.2">
      <c r="J162">
        <v>161</v>
      </c>
      <c r="K162">
        <v>244.89400000000009</v>
      </c>
      <c r="L162">
        <v>248.52</v>
      </c>
    </row>
    <row r="163" spans="10:12" x14ac:dyDescent="0.2">
      <c r="J163">
        <v>162</v>
      </c>
      <c r="K163">
        <v>228.45800000000003</v>
      </c>
      <c r="L163">
        <v>229.28</v>
      </c>
    </row>
    <row r="164" spans="10:12" x14ac:dyDescent="0.2">
      <c r="J164">
        <v>163</v>
      </c>
      <c r="K164">
        <v>247.6046</v>
      </c>
      <c r="L164">
        <v>249.86</v>
      </c>
    </row>
    <row r="165" spans="10:12" x14ac:dyDescent="0.2">
      <c r="J165">
        <v>164</v>
      </c>
      <c r="K165">
        <v>260.58820000000003</v>
      </c>
      <c r="L165">
        <v>257.16999999999996</v>
      </c>
    </row>
    <row r="166" spans="10:12" x14ac:dyDescent="0.2">
      <c r="J166">
        <v>165</v>
      </c>
      <c r="K166">
        <v>244.65179999999998</v>
      </c>
      <c r="L166">
        <v>250.31</v>
      </c>
    </row>
    <row r="167" spans="10:12" x14ac:dyDescent="0.2">
      <c r="J167">
        <v>166</v>
      </c>
      <c r="K167">
        <v>247.447</v>
      </c>
      <c r="L167">
        <v>249.41</v>
      </c>
    </row>
    <row r="168" spans="10:12" x14ac:dyDescent="0.2">
      <c r="J168">
        <v>167</v>
      </c>
      <c r="K168">
        <v>240.19799999999998</v>
      </c>
      <c r="L168">
        <v>237.13</v>
      </c>
    </row>
    <row r="169" spans="10:12" x14ac:dyDescent="0.2">
      <c r="J169">
        <v>168</v>
      </c>
      <c r="K169">
        <v>250.33000000000007</v>
      </c>
      <c r="L169">
        <v>248.965</v>
      </c>
    </row>
    <row r="170" spans="10:12" x14ac:dyDescent="0.2">
      <c r="J170">
        <v>169</v>
      </c>
      <c r="K170">
        <v>242.95619999999997</v>
      </c>
      <c r="L170">
        <v>248.965</v>
      </c>
    </row>
    <row r="171" spans="10:12" x14ac:dyDescent="0.2">
      <c r="J171">
        <v>170</v>
      </c>
      <c r="K171">
        <v>254.79160000000005</v>
      </c>
      <c r="L171">
        <v>267.2</v>
      </c>
    </row>
    <row r="172" spans="10:12" x14ac:dyDescent="0.2">
      <c r="J172">
        <v>171</v>
      </c>
      <c r="K172">
        <v>233.33620000000002</v>
      </c>
      <c r="L172">
        <v>226.87</v>
      </c>
    </row>
    <row r="173" spans="10:12" x14ac:dyDescent="0.2">
      <c r="J173">
        <v>172</v>
      </c>
      <c r="K173">
        <v>244.94299999999993</v>
      </c>
      <c r="L173">
        <v>249.86</v>
      </c>
    </row>
    <row r="174" spans="10:12" x14ac:dyDescent="0.2">
      <c r="J174">
        <v>173</v>
      </c>
      <c r="K174">
        <v>243.74639999999988</v>
      </c>
      <c r="L174">
        <v>226.87</v>
      </c>
    </row>
    <row r="175" spans="10:12" x14ac:dyDescent="0.2">
      <c r="J175">
        <v>174</v>
      </c>
      <c r="K175">
        <v>235.64679999999996</v>
      </c>
      <c r="L175">
        <v>219.85</v>
      </c>
    </row>
    <row r="176" spans="10:12" x14ac:dyDescent="0.2">
      <c r="J176">
        <v>175</v>
      </c>
      <c r="K176">
        <v>237.51679999999999</v>
      </c>
      <c r="L176">
        <v>236.72</v>
      </c>
    </row>
    <row r="177" spans="10:12" x14ac:dyDescent="0.2">
      <c r="J177">
        <v>176</v>
      </c>
      <c r="K177">
        <v>251.32919999999999</v>
      </c>
      <c r="L177">
        <v>256.14999999999998</v>
      </c>
    </row>
    <row r="178" spans="10:12" x14ac:dyDescent="0.2">
      <c r="J178">
        <v>177</v>
      </c>
      <c r="K178">
        <v>234.97160000000002</v>
      </c>
      <c r="L178">
        <v>231.68</v>
      </c>
    </row>
    <row r="179" spans="10:12" x14ac:dyDescent="0.2">
      <c r="J179">
        <v>178</v>
      </c>
      <c r="K179">
        <v>245.93180000000007</v>
      </c>
      <c r="L179">
        <v>248.965</v>
      </c>
    </row>
    <row r="180" spans="10:12" x14ac:dyDescent="0.2">
      <c r="J180">
        <v>179</v>
      </c>
      <c r="K180">
        <v>240.08020000000005</v>
      </c>
      <c r="L180">
        <v>249.41</v>
      </c>
    </row>
    <row r="181" spans="10:12" x14ac:dyDescent="0.2">
      <c r="J181">
        <v>180</v>
      </c>
      <c r="K181">
        <v>253.98419999999999</v>
      </c>
      <c r="L181">
        <v>256.14999999999998</v>
      </c>
    </row>
    <row r="182" spans="10:12" x14ac:dyDescent="0.2">
      <c r="J182">
        <v>181</v>
      </c>
      <c r="K182">
        <v>233.68220000000002</v>
      </c>
      <c r="L182">
        <v>242.62</v>
      </c>
    </row>
    <row r="183" spans="10:12" x14ac:dyDescent="0.2">
      <c r="J183">
        <v>182</v>
      </c>
      <c r="K183">
        <v>246.37699999999998</v>
      </c>
      <c r="L183">
        <v>236.92500000000001</v>
      </c>
    </row>
    <row r="184" spans="10:12" x14ac:dyDescent="0.2">
      <c r="J184">
        <v>183</v>
      </c>
      <c r="K184">
        <v>223.61920000000001</v>
      </c>
      <c r="L184">
        <v>219.56</v>
      </c>
    </row>
    <row r="185" spans="10:12" x14ac:dyDescent="0.2">
      <c r="J185">
        <v>184</v>
      </c>
      <c r="K185">
        <v>233.64680000000007</v>
      </c>
      <c r="L185">
        <v>239.345</v>
      </c>
    </row>
    <row r="186" spans="10:12" x14ac:dyDescent="0.2">
      <c r="J186">
        <v>185</v>
      </c>
      <c r="K186">
        <v>232.53280000000007</v>
      </c>
      <c r="L186">
        <v>226.755</v>
      </c>
    </row>
    <row r="187" spans="10:12" x14ac:dyDescent="0.2">
      <c r="J187">
        <v>186</v>
      </c>
      <c r="K187">
        <v>240.81059999999997</v>
      </c>
      <c r="L187">
        <v>219.56</v>
      </c>
    </row>
    <row r="188" spans="10:12" x14ac:dyDescent="0.2">
      <c r="J188">
        <v>187</v>
      </c>
      <c r="K188">
        <v>248.87899999999999</v>
      </c>
      <c r="L188">
        <v>236.72</v>
      </c>
    </row>
    <row r="189" spans="10:12" x14ac:dyDescent="0.2">
      <c r="J189">
        <v>188</v>
      </c>
      <c r="K189">
        <v>236.29159999999999</v>
      </c>
      <c r="L189">
        <v>236.92500000000001</v>
      </c>
    </row>
    <row r="190" spans="10:12" x14ac:dyDescent="0.2">
      <c r="J190">
        <v>189</v>
      </c>
      <c r="K190">
        <v>254.93340000000003</v>
      </c>
      <c r="L190">
        <v>257.16999999999996</v>
      </c>
    </row>
    <row r="191" spans="10:12" x14ac:dyDescent="0.2">
      <c r="J191">
        <v>190</v>
      </c>
      <c r="K191">
        <v>235.00220000000007</v>
      </c>
      <c r="L191">
        <v>226.87</v>
      </c>
    </row>
    <row r="192" spans="10:12" x14ac:dyDescent="0.2">
      <c r="J192">
        <v>191</v>
      </c>
      <c r="K192">
        <v>239.90419999999997</v>
      </c>
      <c r="L192">
        <v>226.64</v>
      </c>
    </row>
    <row r="193" spans="10:12" x14ac:dyDescent="0.2">
      <c r="J193">
        <v>192</v>
      </c>
      <c r="K193">
        <v>246.75459999999998</v>
      </c>
      <c r="L193">
        <v>242.82499999999999</v>
      </c>
    </row>
    <row r="194" spans="10:12" x14ac:dyDescent="0.2">
      <c r="J194">
        <v>193</v>
      </c>
      <c r="K194">
        <v>231.52180000000001</v>
      </c>
      <c r="L194">
        <v>236.72</v>
      </c>
    </row>
    <row r="195" spans="10:12" x14ac:dyDescent="0.2">
      <c r="J195">
        <v>194</v>
      </c>
      <c r="K195">
        <v>233.85299999999998</v>
      </c>
      <c r="L195">
        <v>236.72</v>
      </c>
    </row>
    <row r="196" spans="10:12" x14ac:dyDescent="0.2">
      <c r="J196">
        <v>195</v>
      </c>
      <c r="K196">
        <v>233.34900000000002</v>
      </c>
      <c r="L196">
        <v>225.01999999999998</v>
      </c>
    </row>
    <row r="197" spans="10:12" x14ac:dyDescent="0.2">
      <c r="J197">
        <v>196</v>
      </c>
      <c r="K197">
        <v>247.87980000000005</v>
      </c>
      <c r="L197">
        <v>249.86</v>
      </c>
    </row>
    <row r="198" spans="10:12" x14ac:dyDescent="0.2">
      <c r="J198">
        <v>197</v>
      </c>
      <c r="K198">
        <v>249.83619999999996</v>
      </c>
      <c r="L198">
        <v>248.52</v>
      </c>
    </row>
    <row r="199" spans="10:12" x14ac:dyDescent="0.2">
      <c r="J199">
        <v>198</v>
      </c>
      <c r="K199">
        <v>238.57560000000001</v>
      </c>
      <c r="L199">
        <v>226.64</v>
      </c>
    </row>
    <row r="200" spans="10:12" x14ac:dyDescent="0.2">
      <c r="J200">
        <v>199</v>
      </c>
      <c r="K200">
        <v>245.37800000000004</v>
      </c>
      <c r="L200">
        <v>250.51999999999998</v>
      </c>
    </row>
    <row r="201" spans="10:12" x14ac:dyDescent="0.2">
      <c r="J201">
        <v>200</v>
      </c>
      <c r="K201">
        <v>232.8416</v>
      </c>
      <c r="L201">
        <v>228.07499999999999</v>
      </c>
    </row>
    <row r="202" spans="10:12" x14ac:dyDescent="0.2">
      <c r="J202">
        <v>201</v>
      </c>
      <c r="K202">
        <v>246.45660000000007</v>
      </c>
      <c r="L202">
        <v>249.41500000000002</v>
      </c>
    </row>
    <row r="203" spans="10:12" x14ac:dyDescent="0.2">
      <c r="J203">
        <v>202</v>
      </c>
      <c r="K203">
        <v>238.25199999999998</v>
      </c>
      <c r="L203">
        <v>233</v>
      </c>
    </row>
    <row r="204" spans="10:12" x14ac:dyDescent="0.2">
      <c r="J204">
        <v>203</v>
      </c>
      <c r="K204">
        <v>232.78060000000002</v>
      </c>
      <c r="L204">
        <v>233</v>
      </c>
    </row>
    <row r="205" spans="10:12" x14ac:dyDescent="0.2">
      <c r="J205">
        <v>204</v>
      </c>
      <c r="K205">
        <v>225.32180000000008</v>
      </c>
      <c r="L205">
        <v>226.755</v>
      </c>
    </row>
    <row r="206" spans="10:12" x14ac:dyDescent="0.2">
      <c r="J206">
        <v>205</v>
      </c>
      <c r="K206">
        <v>247.92379999999991</v>
      </c>
      <c r="L206">
        <v>237.13</v>
      </c>
    </row>
    <row r="207" spans="10:12" x14ac:dyDescent="0.2">
      <c r="J207">
        <v>206</v>
      </c>
      <c r="K207">
        <v>256.00560000000002</v>
      </c>
      <c r="L207">
        <v>242.82499999999999</v>
      </c>
    </row>
    <row r="208" spans="10:12" x14ac:dyDescent="0.2">
      <c r="J208">
        <v>207</v>
      </c>
      <c r="K208">
        <v>240.33619999999999</v>
      </c>
      <c r="L208">
        <v>226.87</v>
      </c>
    </row>
    <row r="209" spans="10:12" x14ac:dyDescent="0.2">
      <c r="J209">
        <v>208</v>
      </c>
      <c r="K209">
        <v>233.6816</v>
      </c>
      <c r="L209">
        <v>228.07499999999999</v>
      </c>
    </row>
    <row r="210" spans="10:12" x14ac:dyDescent="0.2">
      <c r="J210">
        <v>209</v>
      </c>
      <c r="K210">
        <v>250.60879999999995</v>
      </c>
      <c r="L210">
        <v>242.82499999999999</v>
      </c>
    </row>
    <row r="211" spans="10:12" x14ac:dyDescent="0.2">
      <c r="J211">
        <v>210</v>
      </c>
      <c r="K211">
        <v>221.91379999999998</v>
      </c>
      <c r="L211">
        <v>218.36</v>
      </c>
    </row>
    <row r="212" spans="10:12" x14ac:dyDescent="0.2">
      <c r="J212">
        <v>211</v>
      </c>
      <c r="K212">
        <v>243.59179999999998</v>
      </c>
      <c r="L212">
        <v>250.31</v>
      </c>
    </row>
    <row r="213" spans="10:12" x14ac:dyDescent="0.2">
      <c r="J213">
        <v>212</v>
      </c>
      <c r="K213">
        <v>242.35039999999989</v>
      </c>
      <c r="L213">
        <v>237.13</v>
      </c>
    </row>
    <row r="214" spans="10:12" x14ac:dyDescent="0.2">
      <c r="J214">
        <v>213</v>
      </c>
      <c r="K214">
        <v>242.64480000000003</v>
      </c>
      <c r="L214">
        <v>228.07499999999999</v>
      </c>
    </row>
    <row r="215" spans="10:12" x14ac:dyDescent="0.2">
      <c r="J215">
        <v>214</v>
      </c>
      <c r="K215">
        <v>252.00320000000011</v>
      </c>
      <c r="L215">
        <v>253.44</v>
      </c>
    </row>
    <row r="216" spans="10:12" x14ac:dyDescent="0.2">
      <c r="J216">
        <v>215</v>
      </c>
      <c r="K216">
        <v>249.25120000000007</v>
      </c>
      <c r="L216">
        <v>249.86</v>
      </c>
    </row>
    <row r="217" spans="10:12" x14ac:dyDescent="0.2">
      <c r="J217">
        <v>216</v>
      </c>
      <c r="K217">
        <v>245.66900000000001</v>
      </c>
      <c r="L217">
        <v>248.965</v>
      </c>
    </row>
    <row r="218" spans="10:12" x14ac:dyDescent="0.2">
      <c r="J218">
        <v>217</v>
      </c>
      <c r="K218">
        <v>247.18739999999997</v>
      </c>
      <c r="L218">
        <v>243.26999999999998</v>
      </c>
    </row>
    <row r="219" spans="10:12" x14ac:dyDescent="0.2">
      <c r="J219">
        <v>218</v>
      </c>
      <c r="K219">
        <v>236.96300000000002</v>
      </c>
      <c r="L219">
        <v>220.76</v>
      </c>
    </row>
    <row r="220" spans="10:12" x14ac:dyDescent="0.2">
      <c r="J220">
        <v>219</v>
      </c>
      <c r="K220">
        <v>225.56619999999995</v>
      </c>
      <c r="L220">
        <v>228.07499999999999</v>
      </c>
    </row>
    <row r="221" spans="10:12" x14ac:dyDescent="0.2">
      <c r="J221">
        <v>220</v>
      </c>
      <c r="K221">
        <v>216.16700000000009</v>
      </c>
      <c r="L221">
        <v>217.16499999999999</v>
      </c>
    </row>
    <row r="222" spans="10:12" x14ac:dyDescent="0.2">
      <c r="J222">
        <v>221</v>
      </c>
      <c r="K222">
        <v>251.32740000000004</v>
      </c>
      <c r="L222">
        <v>250.31</v>
      </c>
    </row>
    <row r="223" spans="10:12" x14ac:dyDescent="0.2">
      <c r="J223">
        <v>222</v>
      </c>
      <c r="K223">
        <v>246.24920000000006</v>
      </c>
      <c r="L223">
        <v>226.64</v>
      </c>
    </row>
    <row r="224" spans="10:12" x14ac:dyDescent="0.2">
      <c r="J224">
        <v>223</v>
      </c>
      <c r="K224">
        <v>234.38579999999993</v>
      </c>
      <c r="L224">
        <v>233</v>
      </c>
    </row>
    <row r="225" spans="10:12" x14ac:dyDescent="0.2">
      <c r="J225">
        <v>224</v>
      </c>
      <c r="K225">
        <v>236.59180000000001</v>
      </c>
      <c r="L225">
        <v>236.72</v>
      </c>
    </row>
    <row r="226" spans="10:12" x14ac:dyDescent="0.2">
      <c r="J226">
        <v>225</v>
      </c>
      <c r="K226">
        <v>234.61779999999996</v>
      </c>
      <c r="L226">
        <v>223.7</v>
      </c>
    </row>
    <row r="227" spans="10:12" x14ac:dyDescent="0.2">
      <c r="J227">
        <v>226</v>
      </c>
      <c r="K227">
        <v>217.83420000000001</v>
      </c>
      <c r="L227">
        <v>215.39</v>
      </c>
    </row>
    <row r="228" spans="10:12" x14ac:dyDescent="0.2">
      <c r="J228">
        <v>227</v>
      </c>
      <c r="K228">
        <v>246.33279999999996</v>
      </c>
      <c r="L228">
        <v>236.92500000000001</v>
      </c>
    </row>
    <row r="229" spans="10:12" x14ac:dyDescent="0.2">
      <c r="J229">
        <v>228</v>
      </c>
      <c r="K229">
        <v>250.58660000000003</v>
      </c>
      <c r="L229">
        <v>250.73</v>
      </c>
    </row>
    <row r="230" spans="10:12" x14ac:dyDescent="0.2">
      <c r="J230">
        <v>229</v>
      </c>
      <c r="K230">
        <v>240.94139999999996</v>
      </c>
      <c r="L230">
        <v>228.07499999999999</v>
      </c>
    </row>
    <row r="231" spans="10:12" x14ac:dyDescent="0.2">
      <c r="J231">
        <v>230</v>
      </c>
      <c r="K231">
        <v>241.43020000000001</v>
      </c>
      <c r="L231">
        <v>229.28</v>
      </c>
    </row>
    <row r="232" spans="10:12" x14ac:dyDescent="0.2">
      <c r="J232">
        <v>231</v>
      </c>
      <c r="K232">
        <v>231.399</v>
      </c>
      <c r="L232">
        <v>229.28</v>
      </c>
    </row>
    <row r="233" spans="10:12" x14ac:dyDescent="0.2">
      <c r="J233">
        <v>232</v>
      </c>
      <c r="K233">
        <v>239.9858000000001</v>
      </c>
      <c r="L233">
        <v>249.41</v>
      </c>
    </row>
    <row r="234" spans="10:12" x14ac:dyDescent="0.2">
      <c r="J234">
        <v>233</v>
      </c>
      <c r="K234">
        <v>229.12639999999999</v>
      </c>
      <c r="L234">
        <v>222.79</v>
      </c>
    </row>
    <row r="235" spans="10:12" x14ac:dyDescent="0.2">
      <c r="J235">
        <v>234</v>
      </c>
      <c r="K235">
        <v>241.1454</v>
      </c>
      <c r="L235">
        <v>226.755</v>
      </c>
    </row>
    <row r="236" spans="10:12" x14ac:dyDescent="0.2">
      <c r="J236">
        <v>235</v>
      </c>
      <c r="K236">
        <v>231.97059999999999</v>
      </c>
      <c r="L236">
        <v>236.92500000000001</v>
      </c>
    </row>
    <row r="237" spans="10:12" x14ac:dyDescent="0.2">
      <c r="J237">
        <v>236</v>
      </c>
      <c r="K237">
        <v>250.84240000000003</v>
      </c>
      <c r="L237">
        <v>248.965</v>
      </c>
    </row>
    <row r="238" spans="10:12" x14ac:dyDescent="0.2">
      <c r="J238">
        <v>237</v>
      </c>
      <c r="K238">
        <v>238.03400000000002</v>
      </c>
      <c r="L238">
        <v>237.13</v>
      </c>
    </row>
    <row r="239" spans="10:12" x14ac:dyDescent="0.2">
      <c r="J239">
        <v>238</v>
      </c>
      <c r="K239">
        <v>256.40039999999993</v>
      </c>
      <c r="L239">
        <v>249.41500000000002</v>
      </c>
    </row>
    <row r="240" spans="10:12" x14ac:dyDescent="0.2">
      <c r="J240">
        <v>239</v>
      </c>
      <c r="K240">
        <v>246.56920000000002</v>
      </c>
      <c r="L240">
        <v>248.52</v>
      </c>
    </row>
    <row r="241" spans="10:12" x14ac:dyDescent="0.2">
      <c r="J241">
        <v>240</v>
      </c>
      <c r="K241">
        <v>264.75060000000002</v>
      </c>
      <c r="L241">
        <v>267.69</v>
      </c>
    </row>
    <row r="242" spans="10:12" x14ac:dyDescent="0.2">
      <c r="J242">
        <v>241</v>
      </c>
      <c r="K242">
        <v>227.17859999999996</v>
      </c>
      <c r="L242">
        <v>226.87</v>
      </c>
    </row>
    <row r="243" spans="10:12" x14ac:dyDescent="0.2">
      <c r="J243">
        <v>242</v>
      </c>
      <c r="K243">
        <v>228.43959999999998</v>
      </c>
      <c r="L243">
        <v>217.32</v>
      </c>
    </row>
    <row r="244" spans="10:12" x14ac:dyDescent="0.2">
      <c r="J244">
        <v>243</v>
      </c>
      <c r="K244">
        <v>235.48580000000013</v>
      </c>
      <c r="L244">
        <v>222.79</v>
      </c>
    </row>
    <row r="245" spans="10:12" x14ac:dyDescent="0.2">
      <c r="J245">
        <v>244</v>
      </c>
      <c r="K245">
        <v>242.24020000000007</v>
      </c>
      <c r="L245">
        <v>226.87</v>
      </c>
    </row>
    <row r="246" spans="10:12" x14ac:dyDescent="0.2">
      <c r="J246">
        <v>245</v>
      </c>
      <c r="K246">
        <v>250.61360000000002</v>
      </c>
      <c r="L246">
        <v>249.41</v>
      </c>
    </row>
    <row r="247" spans="10:12" x14ac:dyDescent="0.2">
      <c r="J247">
        <v>246</v>
      </c>
      <c r="K247">
        <v>228.04599999999994</v>
      </c>
      <c r="L247">
        <v>217.61</v>
      </c>
    </row>
    <row r="248" spans="10:12" x14ac:dyDescent="0.2">
      <c r="J248">
        <v>247</v>
      </c>
      <c r="K248">
        <v>247.06800000000004</v>
      </c>
      <c r="L248">
        <v>237.13</v>
      </c>
    </row>
    <row r="249" spans="10:12" x14ac:dyDescent="0.2">
      <c r="J249">
        <v>248</v>
      </c>
      <c r="K249">
        <v>250.69479999999999</v>
      </c>
      <c r="L249">
        <v>242.82499999999999</v>
      </c>
    </row>
    <row r="250" spans="10:12" x14ac:dyDescent="0.2">
      <c r="J250">
        <v>249</v>
      </c>
      <c r="K250">
        <v>232.91960000000009</v>
      </c>
      <c r="L250">
        <v>236.72</v>
      </c>
    </row>
    <row r="251" spans="10:12" x14ac:dyDescent="0.2">
      <c r="J251">
        <v>250</v>
      </c>
      <c r="K251">
        <v>266.89459999999997</v>
      </c>
      <c r="L251">
        <v>267.2</v>
      </c>
    </row>
    <row r="252" spans="10:12" x14ac:dyDescent="0.2">
      <c r="J252">
        <v>251</v>
      </c>
      <c r="K252">
        <v>235.46900000000002</v>
      </c>
      <c r="L252">
        <v>249.41500000000002</v>
      </c>
    </row>
    <row r="253" spans="10:12" x14ac:dyDescent="0.2">
      <c r="J253">
        <v>252</v>
      </c>
      <c r="K253">
        <v>247.63220000000001</v>
      </c>
      <c r="L253">
        <v>250.73</v>
      </c>
    </row>
    <row r="254" spans="10:12" x14ac:dyDescent="0.2">
      <c r="J254">
        <v>253</v>
      </c>
      <c r="K254">
        <v>225.08820000000011</v>
      </c>
      <c r="L254">
        <v>219.85</v>
      </c>
    </row>
    <row r="255" spans="10:12" x14ac:dyDescent="0.2">
      <c r="J255">
        <v>254</v>
      </c>
      <c r="K255">
        <v>230.80940000000001</v>
      </c>
      <c r="L255">
        <v>219.85</v>
      </c>
    </row>
    <row r="256" spans="10:12" x14ac:dyDescent="0.2">
      <c r="J256">
        <v>255</v>
      </c>
      <c r="K256">
        <v>260.26880000000006</v>
      </c>
      <c r="L256">
        <v>250.73</v>
      </c>
    </row>
    <row r="257" spans="10:12" x14ac:dyDescent="0.2">
      <c r="J257">
        <v>256</v>
      </c>
      <c r="K257">
        <v>249.41159999999999</v>
      </c>
      <c r="L257">
        <v>242.62</v>
      </c>
    </row>
    <row r="258" spans="10:12" x14ac:dyDescent="0.2">
      <c r="J258">
        <v>257</v>
      </c>
      <c r="K258">
        <v>244.53340000000009</v>
      </c>
      <c r="L258">
        <v>250.31</v>
      </c>
    </row>
    <row r="259" spans="10:12" x14ac:dyDescent="0.2">
      <c r="J259">
        <v>258</v>
      </c>
      <c r="K259">
        <v>249.56140000000002</v>
      </c>
      <c r="L259">
        <v>248.52</v>
      </c>
    </row>
    <row r="260" spans="10:12" x14ac:dyDescent="0.2">
      <c r="J260">
        <v>259</v>
      </c>
      <c r="K260">
        <v>253.91920000000002</v>
      </c>
      <c r="L260">
        <v>253.44</v>
      </c>
    </row>
    <row r="261" spans="10:12" x14ac:dyDescent="0.2">
      <c r="J261">
        <v>260</v>
      </c>
      <c r="K261">
        <v>239.55439999999999</v>
      </c>
      <c r="L261">
        <v>233</v>
      </c>
    </row>
    <row r="262" spans="10:12" x14ac:dyDescent="0.2">
      <c r="J262">
        <v>261</v>
      </c>
      <c r="K262">
        <v>238.08020000000005</v>
      </c>
      <c r="L262">
        <v>229.28</v>
      </c>
    </row>
    <row r="263" spans="10:12" x14ac:dyDescent="0.2">
      <c r="J263">
        <v>262</v>
      </c>
      <c r="K263">
        <v>256.32760000000002</v>
      </c>
      <c r="L263">
        <v>258.19</v>
      </c>
    </row>
    <row r="264" spans="10:12" x14ac:dyDescent="0.2">
      <c r="J264">
        <v>263</v>
      </c>
      <c r="K264">
        <v>217.61500000000004</v>
      </c>
      <c r="L264">
        <v>218.94</v>
      </c>
    </row>
    <row r="265" spans="10:12" x14ac:dyDescent="0.2">
      <c r="J265">
        <v>264</v>
      </c>
      <c r="K265">
        <v>251.46359999999996</v>
      </c>
      <c r="L265">
        <v>248.965</v>
      </c>
    </row>
    <row r="266" spans="10:12" x14ac:dyDescent="0.2">
      <c r="J266">
        <v>265</v>
      </c>
      <c r="K266">
        <v>231.54060000000004</v>
      </c>
      <c r="L266">
        <v>222.79</v>
      </c>
    </row>
    <row r="267" spans="10:12" x14ac:dyDescent="0.2">
      <c r="J267">
        <v>266</v>
      </c>
      <c r="K267">
        <v>242.70580000000007</v>
      </c>
      <c r="L267">
        <v>249.41</v>
      </c>
    </row>
    <row r="268" spans="10:12" x14ac:dyDescent="0.2">
      <c r="J268">
        <v>267</v>
      </c>
      <c r="K268">
        <v>240.54840000000007</v>
      </c>
      <c r="L268">
        <v>248.965</v>
      </c>
    </row>
    <row r="269" spans="10:12" x14ac:dyDescent="0.2">
      <c r="J269">
        <v>268</v>
      </c>
      <c r="K269">
        <v>251.51800000000003</v>
      </c>
      <c r="L269">
        <v>258.30500000000001</v>
      </c>
    </row>
    <row r="270" spans="10:12" x14ac:dyDescent="0.2">
      <c r="J270">
        <v>269</v>
      </c>
      <c r="K270">
        <v>211.99019999999996</v>
      </c>
      <c r="L270">
        <v>217.32</v>
      </c>
    </row>
    <row r="271" spans="10:12" x14ac:dyDescent="0.2">
      <c r="J271">
        <v>270</v>
      </c>
      <c r="K271">
        <v>234.65160000000003</v>
      </c>
      <c r="L271">
        <v>236.72</v>
      </c>
    </row>
    <row r="272" spans="10:12" x14ac:dyDescent="0.2">
      <c r="J272">
        <v>271</v>
      </c>
      <c r="K272">
        <v>234.82980000000001</v>
      </c>
      <c r="L272">
        <v>233</v>
      </c>
    </row>
    <row r="273" spans="10:12" x14ac:dyDescent="0.2">
      <c r="J273">
        <v>272</v>
      </c>
      <c r="K273">
        <v>254.53179999999992</v>
      </c>
      <c r="L273">
        <v>261.67499999999995</v>
      </c>
    </row>
    <row r="274" spans="10:12" x14ac:dyDescent="0.2">
      <c r="J274">
        <v>273</v>
      </c>
      <c r="K274">
        <v>242.82220000000001</v>
      </c>
      <c r="L274">
        <v>249.41</v>
      </c>
    </row>
    <row r="275" spans="10:12" x14ac:dyDescent="0.2">
      <c r="J275">
        <v>274</v>
      </c>
      <c r="K275">
        <v>251.60320000000007</v>
      </c>
      <c r="L275">
        <v>250.51999999999998</v>
      </c>
    </row>
    <row r="276" spans="10:12" x14ac:dyDescent="0.2">
      <c r="J276">
        <v>275</v>
      </c>
      <c r="K276">
        <v>233.23699999999999</v>
      </c>
      <c r="L276">
        <v>222.905</v>
      </c>
    </row>
    <row r="277" spans="10:12" x14ac:dyDescent="0.2">
      <c r="J277">
        <v>276</v>
      </c>
      <c r="K277">
        <v>256.85940000000005</v>
      </c>
      <c r="L277">
        <v>257.16999999999996</v>
      </c>
    </row>
    <row r="278" spans="10:12" x14ac:dyDescent="0.2">
      <c r="J278">
        <v>277</v>
      </c>
      <c r="K278">
        <v>253.9742</v>
      </c>
      <c r="L278">
        <v>248.52</v>
      </c>
    </row>
    <row r="279" spans="10:12" x14ac:dyDescent="0.2">
      <c r="J279">
        <v>278</v>
      </c>
      <c r="K279">
        <v>241.48079999999999</v>
      </c>
      <c r="L279">
        <v>236.72</v>
      </c>
    </row>
    <row r="280" spans="10:12" x14ac:dyDescent="0.2">
      <c r="J280">
        <v>279</v>
      </c>
      <c r="K280">
        <v>255.07759999999999</v>
      </c>
      <c r="L280">
        <v>267.2</v>
      </c>
    </row>
    <row r="281" spans="10:12" x14ac:dyDescent="0.2">
      <c r="J281">
        <v>280</v>
      </c>
      <c r="K281">
        <v>248.33840000000001</v>
      </c>
      <c r="L281">
        <v>242.62</v>
      </c>
    </row>
    <row r="282" spans="10:12" x14ac:dyDescent="0.2">
      <c r="J282">
        <v>281</v>
      </c>
      <c r="K282">
        <v>242.77380000000005</v>
      </c>
      <c r="L282">
        <v>233</v>
      </c>
    </row>
    <row r="283" spans="10:12" x14ac:dyDescent="0.2">
      <c r="J283">
        <v>282</v>
      </c>
      <c r="K283">
        <v>247.24899999999997</v>
      </c>
      <c r="L283">
        <v>248.965</v>
      </c>
    </row>
    <row r="284" spans="10:12" x14ac:dyDescent="0.2">
      <c r="J284">
        <v>283</v>
      </c>
      <c r="K284">
        <v>248.13900000000001</v>
      </c>
      <c r="L284">
        <v>229.28</v>
      </c>
    </row>
    <row r="285" spans="10:12" x14ac:dyDescent="0.2">
      <c r="J285">
        <v>284</v>
      </c>
      <c r="K285">
        <v>254.70779999999996</v>
      </c>
      <c r="L285">
        <v>248.52</v>
      </c>
    </row>
    <row r="286" spans="10:12" x14ac:dyDescent="0.2">
      <c r="J286">
        <v>285</v>
      </c>
      <c r="K286">
        <v>261.75279999999998</v>
      </c>
      <c r="L286">
        <v>253.23</v>
      </c>
    </row>
    <row r="287" spans="10:12" x14ac:dyDescent="0.2">
      <c r="J287">
        <v>286</v>
      </c>
      <c r="K287">
        <v>238.5214</v>
      </c>
      <c r="L287">
        <v>228.07499999999999</v>
      </c>
    </row>
    <row r="288" spans="10:12" x14ac:dyDescent="0.2">
      <c r="J288">
        <v>287</v>
      </c>
      <c r="K288">
        <v>260.32119999999992</v>
      </c>
      <c r="L288">
        <v>243.93</v>
      </c>
    </row>
    <row r="289" spans="10:12" x14ac:dyDescent="0.2">
      <c r="J289">
        <v>288</v>
      </c>
      <c r="K289">
        <v>246.23960000000014</v>
      </c>
      <c r="L289">
        <v>248.965</v>
      </c>
    </row>
    <row r="290" spans="10:12" x14ac:dyDescent="0.2">
      <c r="J290">
        <v>289</v>
      </c>
      <c r="K290">
        <v>261.83619999999996</v>
      </c>
      <c r="L290">
        <v>253.44</v>
      </c>
    </row>
    <row r="291" spans="10:12" x14ac:dyDescent="0.2">
      <c r="J291">
        <v>290</v>
      </c>
      <c r="K291">
        <v>240.83060000000006</v>
      </c>
      <c r="L291">
        <v>236.72</v>
      </c>
    </row>
    <row r="292" spans="10:12" x14ac:dyDescent="0.2">
      <c r="J292">
        <v>291</v>
      </c>
      <c r="K292">
        <v>239.56459999999998</v>
      </c>
      <c r="L292">
        <v>237.69499999999999</v>
      </c>
    </row>
    <row r="293" spans="10:12" x14ac:dyDescent="0.2">
      <c r="J293">
        <v>292</v>
      </c>
      <c r="K293">
        <v>251.43520000000001</v>
      </c>
      <c r="L293">
        <v>258.755</v>
      </c>
    </row>
    <row r="294" spans="10:12" x14ac:dyDescent="0.2">
      <c r="J294">
        <v>293</v>
      </c>
      <c r="K294">
        <v>240.14060000000001</v>
      </c>
      <c r="L294">
        <v>248.52</v>
      </c>
    </row>
    <row r="295" spans="10:12" x14ac:dyDescent="0.2">
      <c r="J295">
        <v>294</v>
      </c>
      <c r="K295">
        <v>251.55980000000008</v>
      </c>
      <c r="L295">
        <v>249.86</v>
      </c>
    </row>
    <row r="296" spans="10:12" x14ac:dyDescent="0.2">
      <c r="J296">
        <v>295</v>
      </c>
      <c r="K296">
        <v>256.44579999999996</v>
      </c>
      <c r="L296">
        <v>250.73</v>
      </c>
    </row>
    <row r="297" spans="10:12" x14ac:dyDescent="0.2">
      <c r="J297">
        <v>296</v>
      </c>
      <c r="K297">
        <v>254.93419999999998</v>
      </c>
      <c r="L297">
        <v>256.14999999999998</v>
      </c>
    </row>
    <row r="298" spans="10:12" x14ac:dyDescent="0.2">
      <c r="J298">
        <v>297</v>
      </c>
      <c r="K298">
        <v>234.90599999999995</v>
      </c>
      <c r="L298">
        <v>236.72</v>
      </c>
    </row>
    <row r="299" spans="10:12" x14ac:dyDescent="0.2">
      <c r="J299">
        <v>298</v>
      </c>
      <c r="K299">
        <v>235.46299999999997</v>
      </c>
      <c r="L299">
        <v>218.94</v>
      </c>
    </row>
    <row r="300" spans="10:12" x14ac:dyDescent="0.2">
      <c r="J300">
        <v>299</v>
      </c>
      <c r="K300">
        <v>243.07299999999998</v>
      </c>
      <c r="L300">
        <v>236.92500000000001</v>
      </c>
    </row>
    <row r="301" spans="10:12" x14ac:dyDescent="0.2">
      <c r="J301">
        <v>300</v>
      </c>
      <c r="K301">
        <v>247.86659999999995</v>
      </c>
      <c r="L301">
        <v>228.07499999999999</v>
      </c>
    </row>
    <row r="302" spans="10:12" x14ac:dyDescent="0.2">
      <c r="J302">
        <v>301</v>
      </c>
      <c r="K302">
        <v>247.38160000000011</v>
      </c>
      <c r="L302">
        <v>242.82499999999999</v>
      </c>
    </row>
    <row r="303" spans="10:12" x14ac:dyDescent="0.2">
      <c r="J303">
        <v>302</v>
      </c>
      <c r="K303">
        <v>231.23159999999999</v>
      </c>
      <c r="L303">
        <v>226.64</v>
      </c>
    </row>
    <row r="304" spans="10:12" x14ac:dyDescent="0.2">
      <c r="J304">
        <v>303</v>
      </c>
      <c r="K304">
        <v>222.54620000000006</v>
      </c>
      <c r="L304">
        <v>215.83499999999998</v>
      </c>
    </row>
    <row r="305" spans="10:12" x14ac:dyDescent="0.2">
      <c r="J305">
        <v>304</v>
      </c>
      <c r="K305">
        <v>247.09659999999994</v>
      </c>
      <c r="L305">
        <v>248.52</v>
      </c>
    </row>
    <row r="306" spans="10:12" x14ac:dyDescent="0.2">
      <c r="J306">
        <v>305</v>
      </c>
      <c r="K306">
        <v>256.7152000000001</v>
      </c>
      <c r="L306">
        <v>249.86</v>
      </c>
    </row>
    <row r="307" spans="10:12" x14ac:dyDescent="0.2">
      <c r="J307">
        <v>306</v>
      </c>
      <c r="K307">
        <v>230.29679999999999</v>
      </c>
      <c r="L307">
        <v>220.76</v>
      </c>
    </row>
    <row r="308" spans="10:12" x14ac:dyDescent="0.2">
      <c r="J308">
        <v>307</v>
      </c>
      <c r="K308">
        <v>243.26500000000004</v>
      </c>
      <c r="L308">
        <v>227.95999999999998</v>
      </c>
    </row>
    <row r="309" spans="10:12" x14ac:dyDescent="0.2">
      <c r="J309">
        <v>308</v>
      </c>
      <c r="K309">
        <v>241.523</v>
      </c>
      <c r="L309">
        <v>250.07</v>
      </c>
    </row>
    <row r="310" spans="10:12" x14ac:dyDescent="0.2">
      <c r="J310">
        <v>309</v>
      </c>
      <c r="K310">
        <v>236.55720000000005</v>
      </c>
      <c r="L310">
        <v>226.64</v>
      </c>
    </row>
    <row r="311" spans="10:12" x14ac:dyDescent="0.2">
      <c r="J311">
        <v>310</v>
      </c>
      <c r="K311">
        <v>227.1640000000001</v>
      </c>
      <c r="L311">
        <v>223.7</v>
      </c>
    </row>
    <row r="312" spans="10:12" x14ac:dyDescent="0.2">
      <c r="J312">
        <v>311</v>
      </c>
      <c r="K312">
        <v>241.29560000000004</v>
      </c>
      <c r="L312">
        <v>233</v>
      </c>
    </row>
    <row r="313" spans="10:12" x14ac:dyDescent="0.2">
      <c r="J313">
        <v>312</v>
      </c>
      <c r="K313">
        <v>255.78979999999996</v>
      </c>
      <c r="L313">
        <v>250.51999999999998</v>
      </c>
    </row>
    <row r="314" spans="10:12" x14ac:dyDescent="0.2">
      <c r="J314">
        <v>313</v>
      </c>
      <c r="K314">
        <v>236.69759999999991</v>
      </c>
      <c r="L314">
        <v>249.41</v>
      </c>
    </row>
    <row r="315" spans="10:12" x14ac:dyDescent="0.2">
      <c r="J315">
        <v>314</v>
      </c>
      <c r="K315">
        <v>258.74959999999999</v>
      </c>
      <c r="L315">
        <v>253.23</v>
      </c>
    </row>
    <row r="316" spans="10:12" x14ac:dyDescent="0.2">
      <c r="J316">
        <v>315</v>
      </c>
      <c r="K316">
        <v>243.56659999999997</v>
      </c>
      <c r="L316">
        <v>228.07499999999999</v>
      </c>
    </row>
    <row r="317" spans="10:12" x14ac:dyDescent="0.2">
      <c r="J317">
        <v>316</v>
      </c>
      <c r="K317">
        <v>260.73539999999991</v>
      </c>
      <c r="L317">
        <v>248.965</v>
      </c>
    </row>
    <row r="318" spans="10:12" x14ac:dyDescent="0.2">
      <c r="J318">
        <v>317</v>
      </c>
      <c r="K318">
        <v>245.1848</v>
      </c>
      <c r="L318">
        <v>237.13</v>
      </c>
    </row>
    <row r="319" spans="10:12" x14ac:dyDescent="0.2">
      <c r="J319">
        <v>318</v>
      </c>
      <c r="K319">
        <v>231.40019999999993</v>
      </c>
      <c r="L319">
        <v>218.94</v>
      </c>
    </row>
    <row r="320" spans="10:12" x14ac:dyDescent="0.2">
      <c r="J320">
        <v>319</v>
      </c>
      <c r="K320">
        <v>248.52680000000004</v>
      </c>
      <c r="L320">
        <v>253.23</v>
      </c>
    </row>
    <row r="321" spans="10:12" x14ac:dyDescent="0.2">
      <c r="J321">
        <v>320</v>
      </c>
      <c r="K321">
        <v>233.59700000000004</v>
      </c>
      <c r="L321">
        <v>218.36</v>
      </c>
    </row>
    <row r="322" spans="10:12" x14ac:dyDescent="0.2">
      <c r="J322">
        <v>321</v>
      </c>
      <c r="K322">
        <v>249.57359999999997</v>
      </c>
      <c r="L322">
        <v>243.26999999999998</v>
      </c>
    </row>
    <row r="323" spans="10:12" x14ac:dyDescent="0.2">
      <c r="J323">
        <v>322</v>
      </c>
      <c r="K323">
        <v>256.56440000000003</v>
      </c>
      <c r="L323">
        <v>250.51999999999998</v>
      </c>
    </row>
    <row r="324" spans="10:12" x14ac:dyDescent="0.2">
      <c r="J324">
        <v>323</v>
      </c>
      <c r="K324">
        <v>242.10440000000003</v>
      </c>
      <c r="L324">
        <v>243.26999999999998</v>
      </c>
    </row>
    <row r="325" spans="10:12" x14ac:dyDescent="0.2">
      <c r="J325">
        <v>324</v>
      </c>
      <c r="K325">
        <v>245.26260000000002</v>
      </c>
      <c r="L325">
        <v>253.23</v>
      </c>
    </row>
    <row r="326" spans="10:12" x14ac:dyDescent="0.2">
      <c r="J326">
        <v>325</v>
      </c>
      <c r="K326">
        <v>246.63600000000005</v>
      </c>
      <c r="L326">
        <v>253.23</v>
      </c>
    </row>
    <row r="327" spans="10:12" x14ac:dyDescent="0.2">
      <c r="J327">
        <v>326</v>
      </c>
      <c r="K327">
        <v>247.3544</v>
      </c>
      <c r="L327">
        <v>248.52</v>
      </c>
    </row>
    <row r="328" spans="10:12" x14ac:dyDescent="0.2">
      <c r="J328">
        <v>327</v>
      </c>
      <c r="K328">
        <v>217.55280000000005</v>
      </c>
      <c r="L328">
        <v>212.95999999999998</v>
      </c>
    </row>
    <row r="329" spans="10:12" x14ac:dyDescent="0.2">
      <c r="J329">
        <v>328</v>
      </c>
      <c r="K329">
        <v>239.05920000000006</v>
      </c>
      <c r="L329">
        <v>233</v>
      </c>
    </row>
    <row r="330" spans="10:12" x14ac:dyDescent="0.2">
      <c r="J330">
        <v>329</v>
      </c>
      <c r="K330">
        <v>243.61080000000001</v>
      </c>
      <c r="L330">
        <v>248.52</v>
      </c>
    </row>
    <row r="331" spans="10:12" x14ac:dyDescent="0.2">
      <c r="J331">
        <v>330</v>
      </c>
      <c r="K331">
        <v>248.39999999999998</v>
      </c>
      <c r="L331">
        <v>229.28</v>
      </c>
    </row>
    <row r="332" spans="10:12" x14ac:dyDescent="0.2">
      <c r="J332">
        <v>331</v>
      </c>
      <c r="K332">
        <v>237.06659999999999</v>
      </c>
      <c r="L332">
        <v>236.72</v>
      </c>
    </row>
    <row r="333" spans="10:12" x14ac:dyDescent="0.2">
      <c r="J333">
        <v>332</v>
      </c>
      <c r="K333">
        <v>225.69779999999994</v>
      </c>
      <c r="L333">
        <v>231.68</v>
      </c>
    </row>
    <row r="334" spans="10:12" x14ac:dyDescent="0.2">
      <c r="J334">
        <v>333</v>
      </c>
      <c r="K334">
        <v>236.10740000000001</v>
      </c>
      <c r="L334">
        <v>228.07499999999999</v>
      </c>
    </row>
    <row r="335" spans="10:12" x14ac:dyDescent="0.2">
      <c r="J335">
        <v>334</v>
      </c>
      <c r="K335">
        <v>241.70040000000006</v>
      </c>
      <c r="L335">
        <v>248.965</v>
      </c>
    </row>
    <row r="336" spans="10:12" x14ac:dyDescent="0.2">
      <c r="J336">
        <v>335</v>
      </c>
      <c r="K336">
        <v>248.47819999999999</v>
      </c>
      <c r="L336">
        <v>249.41500000000002</v>
      </c>
    </row>
    <row r="337" spans="10:12" x14ac:dyDescent="0.2">
      <c r="J337">
        <v>336</v>
      </c>
      <c r="K337">
        <v>248.7868</v>
      </c>
      <c r="L337">
        <v>242.82499999999999</v>
      </c>
    </row>
    <row r="338" spans="10:12" x14ac:dyDescent="0.2">
      <c r="J338">
        <v>337</v>
      </c>
      <c r="K338">
        <v>231.45160000000004</v>
      </c>
      <c r="L338">
        <v>226.87</v>
      </c>
    </row>
    <row r="339" spans="10:12" x14ac:dyDescent="0.2">
      <c r="J339">
        <v>338</v>
      </c>
      <c r="K339">
        <v>258.12819999999994</v>
      </c>
      <c r="L339">
        <v>250.31</v>
      </c>
    </row>
    <row r="340" spans="10:12" x14ac:dyDescent="0.2">
      <c r="J340">
        <v>339</v>
      </c>
      <c r="K340">
        <v>248.84140000000008</v>
      </c>
      <c r="L340">
        <v>242.82499999999999</v>
      </c>
    </row>
    <row r="341" spans="10:12" x14ac:dyDescent="0.2">
      <c r="J341">
        <v>340</v>
      </c>
      <c r="K341">
        <v>244.2216</v>
      </c>
      <c r="L341">
        <v>233</v>
      </c>
    </row>
    <row r="342" spans="10:12" x14ac:dyDescent="0.2">
      <c r="J342">
        <v>341</v>
      </c>
      <c r="K342">
        <v>231.72339999999997</v>
      </c>
      <c r="L342">
        <v>226.755</v>
      </c>
    </row>
    <row r="343" spans="10:12" x14ac:dyDescent="0.2">
      <c r="J343">
        <v>342</v>
      </c>
      <c r="K343">
        <v>243.32440000000014</v>
      </c>
      <c r="L343">
        <v>250.31</v>
      </c>
    </row>
    <row r="344" spans="10:12" x14ac:dyDescent="0.2">
      <c r="J344">
        <v>343</v>
      </c>
      <c r="K344">
        <v>242.08199999999999</v>
      </c>
      <c r="L344">
        <v>226.87</v>
      </c>
    </row>
    <row r="345" spans="10:12" x14ac:dyDescent="0.2">
      <c r="J345">
        <v>344</v>
      </c>
      <c r="K345">
        <v>232.50039999999998</v>
      </c>
      <c r="L345">
        <v>242.62</v>
      </c>
    </row>
    <row r="346" spans="10:12" x14ac:dyDescent="0.2">
      <c r="J346">
        <v>345</v>
      </c>
      <c r="K346">
        <v>236.73199999999997</v>
      </c>
      <c r="L346">
        <v>217.32</v>
      </c>
    </row>
    <row r="347" spans="10:12" x14ac:dyDescent="0.2">
      <c r="J347">
        <v>346</v>
      </c>
      <c r="K347">
        <v>243.22619999999998</v>
      </c>
      <c r="L347">
        <v>233.20499999999998</v>
      </c>
    </row>
    <row r="348" spans="10:12" x14ac:dyDescent="0.2">
      <c r="J348">
        <v>347</v>
      </c>
      <c r="K348">
        <v>250.70820000000003</v>
      </c>
      <c r="L348">
        <v>236.92500000000001</v>
      </c>
    </row>
    <row r="349" spans="10:12" x14ac:dyDescent="0.2">
      <c r="J349">
        <v>348</v>
      </c>
      <c r="K349">
        <v>236.24760000000003</v>
      </c>
      <c r="L349">
        <v>236.72</v>
      </c>
    </row>
    <row r="350" spans="10:12" x14ac:dyDescent="0.2">
      <c r="J350">
        <v>349</v>
      </c>
      <c r="K350">
        <v>242.43180000000001</v>
      </c>
      <c r="L350">
        <v>243.26999999999998</v>
      </c>
    </row>
    <row r="351" spans="10:12" x14ac:dyDescent="0.2">
      <c r="J351">
        <v>350</v>
      </c>
      <c r="K351">
        <v>245.2252</v>
      </c>
      <c r="L351">
        <v>248.52</v>
      </c>
    </row>
    <row r="352" spans="10:12" x14ac:dyDescent="0.2">
      <c r="J352">
        <v>351</v>
      </c>
      <c r="K352">
        <v>238.77679999999998</v>
      </c>
      <c r="L352">
        <v>226.755</v>
      </c>
    </row>
    <row r="353" spans="10:12" x14ac:dyDescent="0.2">
      <c r="J353">
        <v>352</v>
      </c>
      <c r="K353">
        <v>238.4522</v>
      </c>
      <c r="L353">
        <v>226.755</v>
      </c>
    </row>
    <row r="354" spans="10:12" x14ac:dyDescent="0.2">
      <c r="J354">
        <v>353</v>
      </c>
      <c r="K354">
        <v>225.82559999999998</v>
      </c>
      <c r="L354">
        <v>220.76</v>
      </c>
    </row>
    <row r="355" spans="10:12" x14ac:dyDescent="0.2">
      <c r="J355">
        <v>354</v>
      </c>
      <c r="K355">
        <v>245.61620000000002</v>
      </c>
      <c r="L355">
        <v>250.07</v>
      </c>
    </row>
    <row r="356" spans="10:12" x14ac:dyDescent="0.2">
      <c r="J356">
        <v>355</v>
      </c>
      <c r="K356">
        <v>226.0506</v>
      </c>
      <c r="L356">
        <v>217.32</v>
      </c>
    </row>
    <row r="357" spans="10:12" x14ac:dyDescent="0.2">
      <c r="J357">
        <v>356</v>
      </c>
      <c r="K357">
        <v>225.27060000000006</v>
      </c>
      <c r="L357">
        <v>219.85</v>
      </c>
    </row>
    <row r="358" spans="10:12" x14ac:dyDescent="0.2">
      <c r="J358">
        <v>357</v>
      </c>
      <c r="K358">
        <v>232.22859999999989</v>
      </c>
      <c r="L358">
        <v>228.07499999999999</v>
      </c>
    </row>
    <row r="359" spans="10:12" x14ac:dyDescent="0.2">
      <c r="J359">
        <v>358</v>
      </c>
      <c r="K359">
        <v>258.87019999999995</v>
      </c>
      <c r="L359">
        <v>258.96499999999997</v>
      </c>
    </row>
    <row r="360" spans="10:12" x14ac:dyDescent="0.2">
      <c r="J360">
        <v>359</v>
      </c>
      <c r="K360">
        <v>255.27800000000011</v>
      </c>
      <c r="L360">
        <v>249.86</v>
      </c>
    </row>
    <row r="361" spans="10:12" x14ac:dyDescent="0.2">
      <c r="J361">
        <v>360</v>
      </c>
      <c r="K361">
        <v>227.03379999999999</v>
      </c>
      <c r="L361">
        <v>223.815</v>
      </c>
    </row>
    <row r="362" spans="10:12" x14ac:dyDescent="0.2">
      <c r="J362">
        <v>361</v>
      </c>
      <c r="K362">
        <v>237.84040000000005</v>
      </c>
      <c r="L362">
        <v>242.82499999999999</v>
      </c>
    </row>
    <row r="363" spans="10:12" x14ac:dyDescent="0.2">
      <c r="J363">
        <v>362</v>
      </c>
      <c r="K363">
        <v>239.26039999999995</v>
      </c>
      <c r="L363">
        <v>233</v>
      </c>
    </row>
    <row r="364" spans="10:12" x14ac:dyDescent="0.2">
      <c r="J364">
        <v>363</v>
      </c>
      <c r="K364">
        <v>224.65720000000005</v>
      </c>
      <c r="L364">
        <v>233</v>
      </c>
    </row>
    <row r="365" spans="10:12" x14ac:dyDescent="0.2">
      <c r="J365">
        <v>364</v>
      </c>
      <c r="K365">
        <v>233.73620000000011</v>
      </c>
      <c r="L365">
        <v>242.62</v>
      </c>
    </row>
    <row r="366" spans="10:12" x14ac:dyDescent="0.2">
      <c r="J366">
        <v>365</v>
      </c>
      <c r="K366">
        <v>220.18740000000003</v>
      </c>
      <c r="L366">
        <v>215.39</v>
      </c>
    </row>
    <row r="367" spans="10:12" x14ac:dyDescent="0.2">
      <c r="J367">
        <v>366</v>
      </c>
      <c r="K367">
        <v>263.18520000000007</v>
      </c>
      <c r="L367">
        <v>250.51999999999998</v>
      </c>
    </row>
    <row r="368" spans="10:12" x14ac:dyDescent="0.2">
      <c r="J368">
        <v>367</v>
      </c>
      <c r="K368">
        <v>224.45440000000002</v>
      </c>
      <c r="L368">
        <v>226.87</v>
      </c>
    </row>
    <row r="369" spans="10:12" x14ac:dyDescent="0.2">
      <c r="J369">
        <v>368</v>
      </c>
      <c r="K369">
        <v>261.68320000000006</v>
      </c>
      <c r="L369">
        <v>256.14999999999998</v>
      </c>
    </row>
    <row r="370" spans="10:12" x14ac:dyDescent="0.2">
      <c r="J370">
        <v>369</v>
      </c>
      <c r="K370">
        <v>225.22280000000003</v>
      </c>
      <c r="L370">
        <v>226.755</v>
      </c>
    </row>
    <row r="371" spans="10:12" x14ac:dyDescent="0.2">
      <c r="J371">
        <v>370</v>
      </c>
      <c r="K371">
        <v>256.61099999999999</v>
      </c>
      <c r="L371">
        <v>256.14999999999998</v>
      </c>
    </row>
    <row r="372" spans="10:12" x14ac:dyDescent="0.2">
      <c r="J372">
        <v>371</v>
      </c>
      <c r="K372">
        <v>245.01800000000006</v>
      </c>
      <c r="L372">
        <v>236.72</v>
      </c>
    </row>
    <row r="373" spans="10:12" x14ac:dyDescent="0.2">
      <c r="J373">
        <v>372</v>
      </c>
      <c r="K373">
        <v>228.44040000000004</v>
      </c>
      <c r="L373">
        <v>226.755</v>
      </c>
    </row>
    <row r="374" spans="10:12" x14ac:dyDescent="0.2">
      <c r="J374">
        <v>373</v>
      </c>
      <c r="K374">
        <v>237.56200000000001</v>
      </c>
      <c r="L374">
        <v>236.92500000000001</v>
      </c>
    </row>
    <row r="375" spans="10:12" x14ac:dyDescent="0.2">
      <c r="J375">
        <v>374</v>
      </c>
      <c r="K375">
        <v>227.36160000000004</v>
      </c>
      <c r="L375">
        <v>218.36</v>
      </c>
    </row>
    <row r="376" spans="10:12" x14ac:dyDescent="0.2">
      <c r="J376">
        <v>375</v>
      </c>
      <c r="K376">
        <v>248.21180000000001</v>
      </c>
      <c r="L376">
        <v>250.31</v>
      </c>
    </row>
    <row r="377" spans="10:12" x14ac:dyDescent="0.2">
      <c r="J377">
        <v>376</v>
      </c>
      <c r="K377">
        <v>226.04660000000004</v>
      </c>
      <c r="L377">
        <v>218.51999999999998</v>
      </c>
    </row>
    <row r="378" spans="10:12" x14ac:dyDescent="0.2">
      <c r="J378">
        <v>377</v>
      </c>
      <c r="K378">
        <v>243.46280000000007</v>
      </c>
      <c r="L378">
        <v>242.62</v>
      </c>
    </row>
    <row r="379" spans="10:12" x14ac:dyDescent="0.2">
      <c r="J379">
        <v>378</v>
      </c>
      <c r="K379">
        <v>225.61320000000006</v>
      </c>
      <c r="L379">
        <v>236.72</v>
      </c>
    </row>
    <row r="380" spans="10:12" x14ac:dyDescent="0.2">
      <c r="J380">
        <v>379</v>
      </c>
      <c r="K380">
        <v>252.42399999999995</v>
      </c>
      <c r="L380">
        <v>253.44</v>
      </c>
    </row>
    <row r="381" spans="10:12" x14ac:dyDescent="0.2">
      <c r="J381">
        <v>380</v>
      </c>
      <c r="K381">
        <v>247.58620000000013</v>
      </c>
      <c r="L381">
        <v>253.44</v>
      </c>
    </row>
    <row r="382" spans="10:12" x14ac:dyDescent="0.2">
      <c r="J382">
        <v>381</v>
      </c>
      <c r="K382">
        <v>237.42460000000011</v>
      </c>
      <c r="L382">
        <v>223.815</v>
      </c>
    </row>
    <row r="383" spans="10:12" x14ac:dyDescent="0.2">
      <c r="J383">
        <v>382</v>
      </c>
      <c r="K383">
        <v>239.48180000000005</v>
      </c>
      <c r="L383">
        <v>226.755</v>
      </c>
    </row>
    <row r="384" spans="10:12" x14ac:dyDescent="0.2">
      <c r="J384">
        <v>383</v>
      </c>
      <c r="K384">
        <v>243.86920000000006</v>
      </c>
      <c r="L384">
        <v>233.20499999999998</v>
      </c>
    </row>
    <row r="385" spans="10:12" x14ac:dyDescent="0.2">
      <c r="J385">
        <v>384</v>
      </c>
      <c r="K385">
        <v>255.82600000000005</v>
      </c>
      <c r="L385">
        <v>248.965</v>
      </c>
    </row>
    <row r="386" spans="10:12" x14ac:dyDescent="0.2">
      <c r="J386">
        <v>385</v>
      </c>
      <c r="K386">
        <v>260.774</v>
      </c>
      <c r="L386">
        <v>250.31</v>
      </c>
    </row>
    <row r="387" spans="10:12" x14ac:dyDescent="0.2">
      <c r="J387">
        <v>386</v>
      </c>
      <c r="K387">
        <v>234.63440000000003</v>
      </c>
      <c r="L387">
        <v>231.79500000000002</v>
      </c>
    </row>
    <row r="388" spans="10:12" x14ac:dyDescent="0.2">
      <c r="J388">
        <v>387</v>
      </c>
      <c r="K388">
        <v>237.9666</v>
      </c>
      <c r="L388">
        <v>233.20499999999998</v>
      </c>
    </row>
    <row r="389" spans="10:12" x14ac:dyDescent="0.2">
      <c r="J389">
        <v>388</v>
      </c>
      <c r="K389">
        <v>228.13180000000008</v>
      </c>
      <c r="L389">
        <v>219.85</v>
      </c>
    </row>
    <row r="390" spans="10:12" x14ac:dyDescent="0.2">
      <c r="J390">
        <v>389</v>
      </c>
      <c r="K390">
        <v>239.35339999999997</v>
      </c>
      <c r="L390">
        <v>242.82499999999999</v>
      </c>
    </row>
    <row r="391" spans="10:12" x14ac:dyDescent="0.2">
      <c r="J391">
        <v>390</v>
      </c>
      <c r="K391">
        <v>233.44640000000004</v>
      </c>
      <c r="L391">
        <v>233</v>
      </c>
    </row>
    <row r="392" spans="10:12" x14ac:dyDescent="0.2">
      <c r="J392">
        <v>391</v>
      </c>
      <c r="K392">
        <v>252.38480000000007</v>
      </c>
      <c r="L392">
        <v>238.9</v>
      </c>
    </row>
    <row r="393" spans="10:12" x14ac:dyDescent="0.2">
      <c r="J393">
        <v>392</v>
      </c>
      <c r="K393">
        <v>246.40299999999999</v>
      </c>
      <c r="L393">
        <v>243.26999999999998</v>
      </c>
    </row>
    <row r="394" spans="10:12" x14ac:dyDescent="0.2">
      <c r="J394">
        <v>393</v>
      </c>
      <c r="K394">
        <v>224.11019999999994</v>
      </c>
      <c r="L394">
        <v>233</v>
      </c>
    </row>
    <row r="395" spans="10:12" x14ac:dyDescent="0.2">
      <c r="J395">
        <v>394</v>
      </c>
      <c r="K395">
        <v>241.1182</v>
      </c>
      <c r="L395">
        <v>253.44</v>
      </c>
    </row>
    <row r="396" spans="10:12" x14ac:dyDescent="0.2">
      <c r="J396">
        <v>395</v>
      </c>
      <c r="K396">
        <v>227.49840000000012</v>
      </c>
      <c r="L396">
        <v>223.7</v>
      </c>
    </row>
    <row r="397" spans="10:12" x14ac:dyDescent="0.2">
      <c r="J397">
        <v>396</v>
      </c>
      <c r="K397">
        <v>249.7696</v>
      </c>
      <c r="L397">
        <v>248.52</v>
      </c>
    </row>
    <row r="398" spans="10:12" x14ac:dyDescent="0.2">
      <c r="J398">
        <v>397</v>
      </c>
      <c r="K398">
        <v>247.94279999999998</v>
      </c>
      <c r="L398">
        <v>242.82499999999999</v>
      </c>
    </row>
    <row r="399" spans="10:12" x14ac:dyDescent="0.2">
      <c r="J399">
        <v>398</v>
      </c>
      <c r="K399">
        <v>248.53440000000003</v>
      </c>
      <c r="L399">
        <v>242.82499999999999</v>
      </c>
    </row>
    <row r="400" spans="10:12" x14ac:dyDescent="0.2">
      <c r="J400">
        <v>399</v>
      </c>
      <c r="K400">
        <v>236.64699999999996</v>
      </c>
      <c r="L400">
        <v>236.72</v>
      </c>
    </row>
    <row r="401" spans="10:12" x14ac:dyDescent="0.2">
      <c r="J401">
        <v>400</v>
      </c>
      <c r="K401">
        <v>237.16719999999998</v>
      </c>
      <c r="L401">
        <v>223.7</v>
      </c>
    </row>
    <row r="402" spans="10:12" x14ac:dyDescent="0.2">
      <c r="J402">
        <v>401</v>
      </c>
      <c r="K402">
        <v>262.31479999999993</v>
      </c>
      <c r="L402">
        <v>267.2</v>
      </c>
    </row>
    <row r="403" spans="10:12" x14ac:dyDescent="0.2">
      <c r="J403">
        <v>402</v>
      </c>
      <c r="K403">
        <v>231.90759999999995</v>
      </c>
      <c r="L403">
        <v>242.82499999999999</v>
      </c>
    </row>
    <row r="404" spans="10:12" x14ac:dyDescent="0.2">
      <c r="J404">
        <v>403</v>
      </c>
      <c r="K404">
        <v>229.73740000000009</v>
      </c>
      <c r="L404">
        <v>212.95999999999998</v>
      </c>
    </row>
    <row r="405" spans="10:12" x14ac:dyDescent="0.2">
      <c r="J405">
        <v>404</v>
      </c>
      <c r="K405">
        <v>249.58900000000003</v>
      </c>
      <c r="L405">
        <v>250.73</v>
      </c>
    </row>
    <row r="406" spans="10:12" x14ac:dyDescent="0.2">
      <c r="J406">
        <v>405</v>
      </c>
      <c r="K406">
        <v>245.00039999999998</v>
      </c>
      <c r="L406">
        <v>233</v>
      </c>
    </row>
    <row r="407" spans="10:12" x14ac:dyDescent="0.2">
      <c r="J407">
        <v>406</v>
      </c>
      <c r="K407">
        <v>222.15240000000003</v>
      </c>
      <c r="L407">
        <v>218.51999999999998</v>
      </c>
    </row>
    <row r="408" spans="10:12" x14ac:dyDescent="0.2">
      <c r="J408">
        <v>407</v>
      </c>
      <c r="K408">
        <v>240.87520000000001</v>
      </c>
      <c r="L408">
        <v>236.72</v>
      </c>
    </row>
    <row r="409" spans="10:12" x14ac:dyDescent="0.2">
      <c r="J409">
        <v>408</v>
      </c>
      <c r="K409">
        <v>248.5560000000001</v>
      </c>
      <c r="L409">
        <v>248.52</v>
      </c>
    </row>
    <row r="410" spans="10:12" x14ac:dyDescent="0.2">
      <c r="J410">
        <v>409</v>
      </c>
      <c r="K410">
        <v>232.74680000000004</v>
      </c>
      <c r="L410">
        <v>218.94</v>
      </c>
    </row>
    <row r="411" spans="10:12" x14ac:dyDescent="0.2">
      <c r="J411">
        <v>410</v>
      </c>
      <c r="K411">
        <v>257.33859999999993</v>
      </c>
      <c r="L411">
        <v>249.41</v>
      </c>
    </row>
    <row r="412" spans="10:12" x14ac:dyDescent="0.2">
      <c r="J412">
        <v>411</v>
      </c>
      <c r="K412">
        <v>238.82519999999997</v>
      </c>
      <c r="L412">
        <v>236.72</v>
      </c>
    </row>
    <row r="413" spans="10:12" x14ac:dyDescent="0.2">
      <c r="J413">
        <v>412</v>
      </c>
      <c r="K413">
        <v>249.01079999999999</v>
      </c>
      <c r="L413">
        <v>258.19</v>
      </c>
    </row>
    <row r="414" spans="10:12" x14ac:dyDescent="0.2">
      <c r="J414">
        <v>413</v>
      </c>
      <c r="K414">
        <v>232.05459999999999</v>
      </c>
      <c r="L414">
        <v>226.64</v>
      </c>
    </row>
    <row r="415" spans="10:12" x14ac:dyDescent="0.2">
      <c r="J415">
        <v>414</v>
      </c>
      <c r="K415">
        <v>238.41119999999998</v>
      </c>
      <c r="L415">
        <v>231.79500000000002</v>
      </c>
    </row>
    <row r="416" spans="10:12" x14ac:dyDescent="0.2">
      <c r="J416">
        <v>415</v>
      </c>
      <c r="K416">
        <v>237.20340000000004</v>
      </c>
      <c r="L416">
        <v>231.79500000000002</v>
      </c>
    </row>
    <row r="417" spans="10:12" x14ac:dyDescent="0.2">
      <c r="J417">
        <v>416</v>
      </c>
      <c r="K417">
        <v>234.42019999999999</v>
      </c>
      <c r="L417">
        <v>216.28</v>
      </c>
    </row>
    <row r="418" spans="10:12" x14ac:dyDescent="0.2">
      <c r="J418">
        <v>417</v>
      </c>
      <c r="K418">
        <v>236.1534</v>
      </c>
      <c r="L418">
        <v>248.965</v>
      </c>
    </row>
    <row r="419" spans="10:12" x14ac:dyDescent="0.2">
      <c r="J419">
        <v>418</v>
      </c>
      <c r="K419">
        <v>266.42039999999997</v>
      </c>
      <c r="L419">
        <v>277.41499999999996</v>
      </c>
    </row>
    <row r="420" spans="10:12" x14ac:dyDescent="0.2">
      <c r="J420">
        <v>419</v>
      </c>
      <c r="K420">
        <v>213.04639999999995</v>
      </c>
      <c r="L420">
        <v>215.39</v>
      </c>
    </row>
    <row r="421" spans="10:12" x14ac:dyDescent="0.2">
      <c r="J421">
        <v>420</v>
      </c>
      <c r="K421">
        <v>246.97919999999993</v>
      </c>
      <c r="L421">
        <v>242.82499999999999</v>
      </c>
    </row>
    <row r="422" spans="10:12" x14ac:dyDescent="0.2">
      <c r="J422">
        <v>421</v>
      </c>
      <c r="K422">
        <v>251.88919999999999</v>
      </c>
      <c r="L422">
        <v>249.41</v>
      </c>
    </row>
    <row r="423" spans="10:12" x14ac:dyDescent="0.2">
      <c r="J423">
        <v>422</v>
      </c>
      <c r="K423">
        <v>240.37780000000006</v>
      </c>
      <c r="L423">
        <v>242.62</v>
      </c>
    </row>
    <row r="424" spans="10:12" x14ac:dyDescent="0.2">
      <c r="J424">
        <v>423</v>
      </c>
      <c r="K424">
        <v>256.48340000000002</v>
      </c>
      <c r="L424">
        <v>248.52</v>
      </c>
    </row>
    <row r="425" spans="10:12" x14ac:dyDescent="0.2">
      <c r="J425">
        <v>424</v>
      </c>
      <c r="K425">
        <v>215.4648</v>
      </c>
      <c r="L425">
        <v>218.94</v>
      </c>
    </row>
    <row r="426" spans="10:12" x14ac:dyDescent="0.2">
      <c r="J426">
        <v>425</v>
      </c>
      <c r="K426">
        <v>238.345</v>
      </c>
      <c r="L426">
        <v>250.73</v>
      </c>
    </row>
    <row r="427" spans="10:12" x14ac:dyDescent="0.2">
      <c r="J427">
        <v>426</v>
      </c>
      <c r="K427">
        <v>221.52179999999993</v>
      </c>
      <c r="L427">
        <v>229.28</v>
      </c>
    </row>
    <row r="428" spans="10:12" x14ac:dyDescent="0.2">
      <c r="J428">
        <v>427</v>
      </c>
      <c r="K428">
        <v>244.87840000000003</v>
      </c>
      <c r="L428">
        <v>249.41</v>
      </c>
    </row>
    <row r="429" spans="10:12" x14ac:dyDescent="0.2">
      <c r="J429">
        <v>428</v>
      </c>
      <c r="K429">
        <v>244.78860000000003</v>
      </c>
      <c r="L429">
        <v>249.86</v>
      </c>
    </row>
    <row r="430" spans="10:12" x14ac:dyDescent="0.2">
      <c r="J430">
        <v>429</v>
      </c>
      <c r="K430">
        <v>244.42739999999998</v>
      </c>
      <c r="L430">
        <v>236.92500000000001</v>
      </c>
    </row>
    <row r="431" spans="10:12" x14ac:dyDescent="0.2">
      <c r="J431">
        <v>430</v>
      </c>
      <c r="K431">
        <v>252.392</v>
      </c>
      <c r="L431">
        <v>250.31</v>
      </c>
    </row>
    <row r="432" spans="10:12" x14ac:dyDescent="0.2">
      <c r="J432">
        <v>431</v>
      </c>
      <c r="K432">
        <v>250.74039999999997</v>
      </c>
      <c r="L432">
        <v>249.41</v>
      </c>
    </row>
    <row r="433" spans="10:12" x14ac:dyDescent="0.2">
      <c r="J433">
        <v>432</v>
      </c>
      <c r="K433">
        <v>243.77780000000001</v>
      </c>
      <c r="L433">
        <v>250.31</v>
      </c>
    </row>
    <row r="434" spans="10:12" x14ac:dyDescent="0.2">
      <c r="J434">
        <v>433</v>
      </c>
      <c r="K434">
        <v>239.5806</v>
      </c>
      <c r="L434">
        <v>226.87</v>
      </c>
    </row>
    <row r="435" spans="10:12" x14ac:dyDescent="0.2">
      <c r="J435">
        <v>434</v>
      </c>
      <c r="K435">
        <v>257.68080000000003</v>
      </c>
      <c r="L435">
        <v>254.25</v>
      </c>
    </row>
    <row r="436" spans="10:12" x14ac:dyDescent="0.2">
      <c r="J436">
        <v>435</v>
      </c>
      <c r="K436">
        <v>234.81260000000006</v>
      </c>
      <c r="L436">
        <v>236.72</v>
      </c>
    </row>
    <row r="437" spans="10:12" x14ac:dyDescent="0.2">
      <c r="J437">
        <v>436</v>
      </c>
      <c r="K437">
        <v>234.97540000000004</v>
      </c>
      <c r="L437">
        <v>236.72</v>
      </c>
    </row>
    <row r="438" spans="10:12" x14ac:dyDescent="0.2">
      <c r="J438">
        <v>437</v>
      </c>
      <c r="K438">
        <v>257.19899999999996</v>
      </c>
      <c r="L438">
        <v>250.73</v>
      </c>
    </row>
    <row r="439" spans="10:12" x14ac:dyDescent="0.2">
      <c r="J439">
        <v>438</v>
      </c>
      <c r="K439">
        <v>224.91479999999999</v>
      </c>
      <c r="L439">
        <v>216.875</v>
      </c>
    </row>
    <row r="440" spans="10:12" x14ac:dyDescent="0.2">
      <c r="J440">
        <v>439</v>
      </c>
      <c r="K440">
        <v>244.30080000000009</v>
      </c>
      <c r="L440">
        <v>229.28</v>
      </c>
    </row>
    <row r="441" spans="10:12" x14ac:dyDescent="0.2">
      <c r="J441">
        <v>440</v>
      </c>
      <c r="K441">
        <v>247.64660000000012</v>
      </c>
      <c r="L441">
        <v>248.965</v>
      </c>
    </row>
    <row r="442" spans="10:12" x14ac:dyDescent="0.2">
      <c r="J442">
        <v>441</v>
      </c>
      <c r="K442">
        <v>236.82960000000006</v>
      </c>
      <c r="L442">
        <v>233</v>
      </c>
    </row>
    <row r="443" spans="10:12" x14ac:dyDescent="0.2">
      <c r="J443">
        <v>442</v>
      </c>
      <c r="K443">
        <v>228.48240000000004</v>
      </c>
      <c r="L443">
        <v>223.7</v>
      </c>
    </row>
    <row r="444" spans="10:12" x14ac:dyDescent="0.2">
      <c r="J444">
        <v>443</v>
      </c>
      <c r="K444">
        <v>266.90359999999998</v>
      </c>
      <c r="L444">
        <v>277.64</v>
      </c>
    </row>
    <row r="445" spans="10:12" x14ac:dyDescent="0.2">
      <c r="J445">
        <v>444</v>
      </c>
      <c r="K445">
        <v>238.06619999999998</v>
      </c>
      <c r="L445">
        <v>231.79500000000002</v>
      </c>
    </row>
    <row r="446" spans="10:12" x14ac:dyDescent="0.2">
      <c r="J446">
        <v>445</v>
      </c>
      <c r="K446">
        <v>238.75119999999998</v>
      </c>
      <c r="L446">
        <v>233.20499999999998</v>
      </c>
    </row>
    <row r="447" spans="10:12" x14ac:dyDescent="0.2">
      <c r="J447">
        <v>446</v>
      </c>
      <c r="K447">
        <v>251.67380000000006</v>
      </c>
      <c r="L447">
        <v>253.44</v>
      </c>
    </row>
    <row r="448" spans="10:12" x14ac:dyDescent="0.2">
      <c r="J448">
        <v>447</v>
      </c>
      <c r="K448">
        <v>232.893</v>
      </c>
      <c r="L448">
        <v>226.87</v>
      </c>
    </row>
    <row r="449" spans="10:12" x14ac:dyDescent="0.2">
      <c r="J449">
        <v>448</v>
      </c>
      <c r="K449">
        <v>244.1482</v>
      </c>
      <c r="L449">
        <v>243.26999999999998</v>
      </c>
    </row>
    <row r="450" spans="10:12" x14ac:dyDescent="0.2">
      <c r="J450">
        <v>449</v>
      </c>
      <c r="K450">
        <v>238.42400000000001</v>
      </c>
      <c r="L450">
        <v>238.9</v>
      </c>
    </row>
    <row r="451" spans="10:12" x14ac:dyDescent="0.2">
      <c r="J451">
        <v>450</v>
      </c>
      <c r="K451">
        <v>249.49719999999982</v>
      </c>
      <c r="L451">
        <v>242.82499999999999</v>
      </c>
    </row>
    <row r="452" spans="10:12" x14ac:dyDescent="0.2">
      <c r="J452">
        <v>451</v>
      </c>
      <c r="K452">
        <v>256.97739999999993</v>
      </c>
      <c r="L452">
        <v>242.82499999999999</v>
      </c>
    </row>
    <row r="453" spans="10:12" x14ac:dyDescent="0.2">
      <c r="J453">
        <v>452</v>
      </c>
      <c r="K453">
        <v>237.86900000000003</v>
      </c>
      <c r="L453">
        <v>226.755</v>
      </c>
    </row>
    <row r="454" spans="10:12" x14ac:dyDescent="0.2">
      <c r="J454">
        <v>453</v>
      </c>
      <c r="K454">
        <v>231.73560000000001</v>
      </c>
      <c r="L454">
        <v>228.07499999999999</v>
      </c>
    </row>
    <row r="455" spans="10:12" x14ac:dyDescent="0.2">
      <c r="J455">
        <v>454</v>
      </c>
      <c r="K455">
        <v>250.24739999999997</v>
      </c>
      <c r="L455">
        <v>250.51999999999998</v>
      </c>
    </row>
    <row r="456" spans="10:12" x14ac:dyDescent="0.2">
      <c r="J456">
        <v>455</v>
      </c>
      <c r="K456">
        <v>240.57060000000001</v>
      </c>
      <c r="L456">
        <v>236.72</v>
      </c>
    </row>
    <row r="457" spans="10:12" x14ac:dyDescent="0.2">
      <c r="J457">
        <v>456</v>
      </c>
      <c r="K457">
        <v>251.27759999999995</v>
      </c>
      <c r="L457">
        <v>249.86</v>
      </c>
    </row>
    <row r="458" spans="10:12" x14ac:dyDescent="0.2">
      <c r="J458">
        <v>457</v>
      </c>
      <c r="K458">
        <v>237.22460000000004</v>
      </c>
      <c r="L458">
        <v>237.13</v>
      </c>
    </row>
    <row r="459" spans="10:12" x14ac:dyDescent="0.2">
      <c r="J459">
        <v>458</v>
      </c>
      <c r="K459">
        <v>252.43380000000002</v>
      </c>
      <c r="L459">
        <v>258.19</v>
      </c>
    </row>
    <row r="460" spans="10:12" x14ac:dyDescent="0.2">
      <c r="J460">
        <v>459</v>
      </c>
      <c r="K460">
        <v>243.56960000000007</v>
      </c>
      <c r="L460">
        <v>233.20499999999998</v>
      </c>
    </row>
    <row r="461" spans="10:12" x14ac:dyDescent="0.2">
      <c r="J461">
        <v>460</v>
      </c>
      <c r="K461">
        <v>251.86579999999998</v>
      </c>
      <c r="L461">
        <v>248.965</v>
      </c>
    </row>
    <row r="462" spans="10:12" x14ac:dyDescent="0.2">
      <c r="J462">
        <v>461</v>
      </c>
      <c r="K462">
        <v>231.95299999999992</v>
      </c>
      <c r="L462">
        <v>218.94</v>
      </c>
    </row>
    <row r="463" spans="10:12" x14ac:dyDescent="0.2">
      <c r="J463">
        <v>462</v>
      </c>
      <c r="K463">
        <v>259.53140000000002</v>
      </c>
      <c r="L463">
        <v>267.2</v>
      </c>
    </row>
    <row r="464" spans="10:12" x14ac:dyDescent="0.2">
      <c r="J464">
        <v>463</v>
      </c>
      <c r="K464">
        <v>243.00720000000001</v>
      </c>
      <c r="L464">
        <v>250.31</v>
      </c>
    </row>
    <row r="465" spans="10:12" x14ac:dyDescent="0.2">
      <c r="J465">
        <v>464</v>
      </c>
      <c r="K465">
        <v>240.78639999999996</v>
      </c>
      <c r="L465">
        <v>226.755</v>
      </c>
    </row>
    <row r="466" spans="10:12" x14ac:dyDescent="0.2">
      <c r="J466">
        <v>465</v>
      </c>
      <c r="K466">
        <v>251.54519999999991</v>
      </c>
      <c r="L466">
        <v>249.41500000000002</v>
      </c>
    </row>
    <row r="467" spans="10:12" x14ac:dyDescent="0.2">
      <c r="J467">
        <v>466</v>
      </c>
      <c r="K467">
        <v>229.21359999999996</v>
      </c>
      <c r="L467">
        <v>229.28</v>
      </c>
    </row>
    <row r="468" spans="10:12" x14ac:dyDescent="0.2">
      <c r="J468">
        <v>467</v>
      </c>
      <c r="K468">
        <v>234.36100000000002</v>
      </c>
      <c r="L468">
        <v>237.13</v>
      </c>
    </row>
    <row r="469" spans="10:12" x14ac:dyDescent="0.2">
      <c r="J469">
        <v>468</v>
      </c>
      <c r="K469">
        <v>227.89520000000007</v>
      </c>
      <c r="L469">
        <v>231.79500000000002</v>
      </c>
    </row>
    <row r="470" spans="10:12" x14ac:dyDescent="0.2">
      <c r="J470">
        <v>469</v>
      </c>
      <c r="K470">
        <v>236.55399999999995</v>
      </c>
      <c r="L470">
        <v>226.755</v>
      </c>
    </row>
    <row r="471" spans="10:12" x14ac:dyDescent="0.2">
      <c r="J471">
        <v>470</v>
      </c>
      <c r="K471">
        <v>254.70839999999995</v>
      </c>
      <c r="L471">
        <v>253.23</v>
      </c>
    </row>
    <row r="472" spans="10:12" x14ac:dyDescent="0.2">
      <c r="J472">
        <v>471</v>
      </c>
      <c r="K472">
        <v>219.70660000000001</v>
      </c>
      <c r="L472">
        <v>222.5</v>
      </c>
    </row>
    <row r="473" spans="10:12" x14ac:dyDescent="0.2">
      <c r="J473">
        <v>472</v>
      </c>
      <c r="K473">
        <v>222.59740000000002</v>
      </c>
      <c r="L473">
        <v>219.85</v>
      </c>
    </row>
    <row r="474" spans="10:12" x14ac:dyDescent="0.2">
      <c r="J474">
        <v>473</v>
      </c>
      <c r="K474">
        <v>243.7516</v>
      </c>
      <c r="L474">
        <v>233</v>
      </c>
    </row>
    <row r="475" spans="10:12" x14ac:dyDescent="0.2">
      <c r="J475">
        <v>474</v>
      </c>
      <c r="K475">
        <v>255.61540000000011</v>
      </c>
      <c r="L475">
        <v>254.45999999999998</v>
      </c>
    </row>
    <row r="476" spans="10:12" x14ac:dyDescent="0.2">
      <c r="J476">
        <v>475</v>
      </c>
      <c r="K476">
        <v>261.39999999999998</v>
      </c>
      <c r="L476">
        <v>248.965</v>
      </c>
    </row>
    <row r="477" spans="10:12" x14ac:dyDescent="0.2">
      <c r="J477">
        <v>476</v>
      </c>
      <c r="K477">
        <v>253.75700000000003</v>
      </c>
      <c r="L477">
        <v>242.82499999999999</v>
      </c>
    </row>
    <row r="478" spans="10:12" x14ac:dyDescent="0.2">
      <c r="J478">
        <v>477</v>
      </c>
      <c r="K478">
        <v>236.32759999999996</v>
      </c>
      <c r="L478">
        <v>228.07499999999999</v>
      </c>
    </row>
    <row r="479" spans="10:12" x14ac:dyDescent="0.2">
      <c r="J479">
        <v>478</v>
      </c>
      <c r="K479">
        <v>231.47160000000011</v>
      </c>
      <c r="L479">
        <v>218.07499999999999</v>
      </c>
    </row>
    <row r="480" spans="10:12" x14ac:dyDescent="0.2">
      <c r="J480">
        <v>479</v>
      </c>
      <c r="K480">
        <v>229.53020000000001</v>
      </c>
      <c r="L480">
        <v>231.68</v>
      </c>
    </row>
    <row r="481" spans="10:12" x14ac:dyDescent="0.2">
      <c r="J481">
        <v>480</v>
      </c>
      <c r="K481">
        <v>264.9538</v>
      </c>
      <c r="L481">
        <v>256.14999999999998</v>
      </c>
    </row>
    <row r="482" spans="10:12" x14ac:dyDescent="0.2">
      <c r="J482">
        <v>481</v>
      </c>
      <c r="K482">
        <v>239.89680000000007</v>
      </c>
      <c r="L482">
        <v>233</v>
      </c>
    </row>
    <row r="483" spans="10:12" x14ac:dyDescent="0.2">
      <c r="J483">
        <v>482</v>
      </c>
      <c r="K483">
        <v>240.78520000000009</v>
      </c>
      <c r="L483">
        <v>236.72</v>
      </c>
    </row>
    <row r="484" spans="10:12" x14ac:dyDescent="0.2">
      <c r="J484">
        <v>483</v>
      </c>
      <c r="K484">
        <v>261.33100000000002</v>
      </c>
      <c r="L484">
        <v>250.31</v>
      </c>
    </row>
    <row r="485" spans="10:12" x14ac:dyDescent="0.2">
      <c r="J485">
        <v>484</v>
      </c>
      <c r="K485">
        <v>227.01679999999996</v>
      </c>
      <c r="L485">
        <v>233</v>
      </c>
    </row>
    <row r="486" spans="10:12" x14ac:dyDescent="0.2">
      <c r="J486">
        <v>485</v>
      </c>
      <c r="K486">
        <v>235.82939999999999</v>
      </c>
      <c r="L486">
        <v>233</v>
      </c>
    </row>
    <row r="487" spans="10:12" x14ac:dyDescent="0.2">
      <c r="J487">
        <v>486</v>
      </c>
      <c r="K487">
        <v>238.61040000000006</v>
      </c>
      <c r="L487">
        <v>236.72</v>
      </c>
    </row>
    <row r="488" spans="10:12" x14ac:dyDescent="0.2">
      <c r="J488">
        <v>487</v>
      </c>
      <c r="K488">
        <v>246.28140000000008</v>
      </c>
      <c r="L488">
        <v>248.52</v>
      </c>
    </row>
    <row r="489" spans="10:12" x14ac:dyDescent="0.2">
      <c r="J489">
        <v>488</v>
      </c>
      <c r="K489">
        <v>261.2650000000001</v>
      </c>
      <c r="L489">
        <v>249.86</v>
      </c>
    </row>
    <row r="490" spans="10:12" x14ac:dyDescent="0.2">
      <c r="J490">
        <v>489</v>
      </c>
      <c r="K490">
        <v>236.42419999999998</v>
      </c>
      <c r="L490">
        <v>231.79500000000002</v>
      </c>
    </row>
    <row r="491" spans="10:12" x14ac:dyDescent="0.2">
      <c r="J491">
        <v>490</v>
      </c>
      <c r="K491">
        <v>242.46660000000008</v>
      </c>
      <c r="L491">
        <v>249.86</v>
      </c>
    </row>
    <row r="492" spans="10:12" x14ac:dyDescent="0.2">
      <c r="J492">
        <v>491</v>
      </c>
      <c r="K492">
        <v>233.25480000000005</v>
      </c>
      <c r="L492">
        <v>226.87</v>
      </c>
    </row>
    <row r="493" spans="10:12" x14ac:dyDescent="0.2">
      <c r="J493">
        <v>492</v>
      </c>
      <c r="K493">
        <v>233.19600000000003</v>
      </c>
      <c r="L493">
        <v>228.07499999999999</v>
      </c>
    </row>
    <row r="494" spans="10:12" x14ac:dyDescent="0.2">
      <c r="J494">
        <v>493</v>
      </c>
      <c r="K494">
        <v>234.6088</v>
      </c>
      <c r="L494">
        <v>215.83499999999998</v>
      </c>
    </row>
    <row r="495" spans="10:12" x14ac:dyDescent="0.2">
      <c r="J495">
        <v>494</v>
      </c>
      <c r="K495">
        <v>227.52480000000003</v>
      </c>
      <c r="L495">
        <v>220.76</v>
      </c>
    </row>
    <row r="496" spans="10:12" x14ac:dyDescent="0.2">
      <c r="J496">
        <v>495</v>
      </c>
      <c r="K496">
        <v>237.517</v>
      </c>
      <c r="L496">
        <v>242.82499999999999</v>
      </c>
    </row>
    <row r="497" spans="10:12" x14ac:dyDescent="0.2">
      <c r="J497">
        <v>496</v>
      </c>
      <c r="K497">
        <v>234.05660000000003</v>
      </c>
      <c r="L497">
        <v>217.32</v>
      </c>
    </row>
    <row r="498" spans="10:12" x14ac:dyDescent="0.2">
      <c r="J498">
        <v>497</v>
      </c>
      <c r="K498">
        <v>234.14259999999999</v>
      </c>
      <c r="L498">
        <v>228.07499999999999</v>
      </c>
    </row>
    <row r="499" spans="10:12" x14ac:dyDescent="0.2">
      <c r="J499">
        <v>498</v>
      </c>
      <c r="K499">
        <v>236.91500000000008</v>
      </c>
      <c r="L499">
        <v>228.07499999999999</v>
      </c>
    </row>
    <row r="500" spans="10:12" x14ac:dyDescent="0.2">
      <c r="J500">
        <v>499</v>
      </c>
      <c r="K500">
        <v>243.49579999999997</v>
      </c>
      <c r="L500">
        <v>242.82499999999999</v>
      </c>
    </row>
    <row r="501" spans="10:12" x14ac:dyDescent="0.2">
      <c r="J501">
        <v>500</v>
      </c>
      <c r="K501">
        <v>250.22839999999994</v>
      </c>
      <c r="L501">
        <v>253.44</v>
      </c>
    </row>
    <row r="502" spans="10:12" x14ac:dyDescent="0.2">
      <c r="J502">
        <v>501</v>
      </c>
      <c r="K502">
        <v>245.29639999999995</v>
      </c>
      <c r="L502">
        <v>233</v>
      </c>
    </row>
    <row r="503" spans="10:12" x14ac:dyDescent="0.2">
      <c r="J503">
        <v>502</v>
      </c>
      <c r="K503">
        <v>261.06719999999996</v>
      </c>
      <c r="L503">
        <v>253.44</v>
      </c>
    </row>
    <row r="504" spans="10:12" x14ac:dyDescent="0.2">
      <c r="J504">
        <v>503</v>
      </c>
      <c r="K504">
        <v>221.93919999999997</v>
      </c>
      <c r="L504">
        <v>220.76</v>
      </c>
    </row>
    <row r="505" spans="10:12" x14ac:dyDescent="0.2">
      <c r="J505">
        <v>504</v>
      </c>
      <c r="K505">
        <v>237.47980000000004</v>
      </c>
      <c r="L505">
        <v>226.87</v>
      </c>
    </row>
    <row r="506" spans="10:12" x14ac:dyDescent="0.2">
      <c r="J506">
        <v>505</v>
      </c>
      <c r="K506">
        <v>234.13840000000005</v>
      </c>
      <c r="L506">
        <v>229.28</v>
      </c>
    </row>
    <row r="507" spans="10:12" x14ac:dyDescent="0.2">
      <c r="J507">
        <v>506</v>
      </c>
      <c r="K507">
        <v>244.35659999999999</v>
      </c>
      <c r="L507">
        <v>223.7</v>
      </c>
    </row>
    <row r="508" spans="10:12" x14ac:dyDescent="0.2">
      <c r="J508">
        <v>507</v>
      </c>
      <c r="K508">
        <v>234.07980000000009</v>
      </c>
      <c r="L508">
        <v>236.92500000000001</v>
      </c>
    </row>
    <row r="509" spans="10:12" x14ac:dyDescent="0.2">
      <c r="J509">
        <v>508</v>
      </c>
      <c r="K509">
        <v>232.49539999999996</v>
      </c>
      <c r="L509">
        <v>226.64</v>
      </c>
    </row>
    <row r="510" spans="10:12" x14ac:dyDescent="0.2">
      <c r="J510">
        <v>509</v>
      </c>
      <c r="K510">
        <v>260.9434</v>
      </c>
      <c r="L510">
        <v>254.25</v>
      </c>
    </row>
    <row r="511" spans="10:12" x14ac:dyDescent="0.2">
      <c r="J511">
        <v>510</v>
      </c>
      <c r="K511">
        <v>253.07879999999997</v>
      </c>
      <c r="L511">
        <v>250.73</v>
      </c>
    </row>
    <row r="512" spans="10:12" x14ac:dyDescent="0.2">
      <c r="J512">
        <v>511</v>
      </c>
      <c r="K512">
        <v>240.11719999999994</v>
      </c>
      <c r="L512">
        <v>242.82499999999999</v>
      </c>
    </row>
    <row r="513" spans="10:12" x14ac:dyDescent="0.2">
      <c r="J513">
        <v>512</v>
      </c>
      <c r="K513">
        <v>224.9014</v>
      </c>
      <c r="L513">
        <v>219.85</v>
      </c>
    </row>
    <row r="514" spans="10:12" x14ac:dyDescent="0.2">
      <c r="J514">
        <v>513</v>
      </c>
      <c r="K514">
        <v>262.48140000000001</v>
      </c>
      <c r="L514">
        <v>250.07</v>
      </c>
    </row>
    <row r="515" spans="10:12" x14ac:dyDescent="0.2">
      <c r="J515">
        <v>514</v>
      </c>
      <c r="K515">
        <v>262.90760000000006</v>
      </c>
      <c r="L515">
        <v>250.51999999999998</v>
      </c>
    </row>
    <row r="516" spans="10:12" x14ac:dyDescent="0.2">
      <c r="J516">
        <v>515</v>
      </c>
      <c r="K516">
        <v>261.28540000000004</v>
      </c>
      <c r="L516">
        <v>262.69499999999999</v>
      </c>
    </row>
    <row r="517" spans="10:12" x14ac:dyDescent="0.2">
      <c r="J517">
        <v>516</v>
      </c>
      <c r="K517">
        <v>242.86239999999995</v>
      </c>
      <c r="L517">
        <v>249.41500000000002</v>
      </c>
    </row>
    <row r="518" spans="10:12" x14ac:dyDescent="0.2">
      <c r="J518">
        <v>517</v>
      </c>
      <c r="K518">
        <v>235.02619999999999</v>
      </c>
      <c r="L518">
        <v>237.13</v>
      </c>
    </row>
    <row r="519" spans="10:12" x14ac:dyDescent="0.2">
      <c r="J519">
        <v>518</v>
      </c>
      <c r="K519">
        <v>245.40520000000004</v>
      </c>
      <c r="L519">
        <v>243.26999999999998</v>
      </c>
    </row>
    <row r="520" spans="10:12" x14ac:dyDescent="0.2">
      <c r="J520">
        <v>519</v>
      </c>
      <c r="K520">
        <v>249.75540000000001</v>
      </c>
      <c r="L520">
        <v>256.14999999999998</v>
      </c>
    </row>
    <row r="521" spans="10:12" x14ac:dyDescent="0.2">
      <c r="J521">
        <v>520</v>
      </c>
      <c r="K521">
        <v>241.67979999999997</v>
      </c>
      <c r="L521">
        <v>250.51999999999998</v>
      </c>
    </row>
    <row r="522" spans="10:12" x14ac:dyDescent="0.2">
      <c r="J522">
        <v>521</v>
      </c>
      <c r="K522">
        <v>233.38239999999999</v>
      </c>
      <c r="L522">
        <v>228.74</v>
      </c>
    </row>
    <row r="523" spans="10:12" x14ac:dyDescent="0.2">
      <c r="J523">
        <v>522</v>
      </c>
      <c r="K523">
        <v>250.94760000000002</v>
      </c>
      <c r="L523">
        <v>249.86</v>
      </c>
    </row>
    <row r="524" spans="10:12" x14ac:dyDescent="0.2">
      <c r="J524">
        <v>523</v>
      </c>
      <c r="K524">
        <v>236.59819999999999</v>
      </c>
      <c r="L524">
        <v>222.79</v>
      </c>
    </row>
    <row r="525" spans="10:12" x14ac:dyDescent="0.2">
      <c r="J525">
        <v>524</v>
      </c>
      <c r="K525">
        <v>249.1005999999999</v>
      </c>
      <c r="L525">
        <v>249.86</v>
      </c>
    </row>
    <row r="526" spans="10:12" x14ac:dyDescent="0.2">
      <c r="J526">
        <v>525</v>
      </c>
      <c r="K526">
        <v>237.37720000000002</v>
      </c>
      <c r="L526">
        <v>236.92500000000001</v>
      </c>
    </row>
    <row r="527" spans="10:12" x14ac:dyDescent="0.2">
      <c r="J527">
        <v>526</v>
      </c>
      <c r="K527">
        <v>240.91660000000005</v>
      </c>
      <c r="L527">
        <v>233</v>
      </c>
    </row>
    <row r="528" spans="10:12" x14ac:dyDescent="0.2">
      <c r="J528">
        <v>527</v>
      </c>
      <c r="K528">
        <v>231.73980000000006</v>
      </c>
      <c r="L528">
        <v>228.07499999999999</v>
      </c>
    </row>
    <row r="529" spans="10:12" x14ac:dyDescent="0.2">
      <c r="J529">
        <v>528</v>
      </c>
      <c r="K529">
        <v>247.10919999999996</v>
      </c>
      <c r="L529">
        <v>248.965</v>
      </c>
    </row>
    <row r="530" spans="10:12" x14ac:dyDescent="0.2">
      <c r="J530">
        <v>529</v>
      </c>
      <c r="K530">
        <v>258.0598</v>
      </c>
      <c r="L530">
        <v>248.965</v>
      </c>
    </row>
    <row r="531" spans="10:12" x14ac:dyDescent="0.2">
      <c r="J531">
        <v>530</v>
      </c>
      <c r="K531">
        <v>216.96540000000005</v>
      </c>
      <c r="L531">
        <v>217.32</v>
      </c>
    </row>
    <row r="532" spans="10:12" x14ac:dyDescent="0.2">
      <c r="J532">
        <v>531</v>
      </c>
      <c r="K532">
        <v>244.4032</v>
      </c>
      <c r="L532">
        <v>237.13</v>
      </c>
    </row>
    <row r="533" spans="10:12" x14ac:dyDescent="0.2">
      <c r="J533">
        <v>532</v>
      </c>
      <c r="K533">
        <v>231.26940000000002</v>
      </c>
      <c r="L533">
        <v>226.755</v>
      </c>
    </row>
    <row r="534" spans="10:12" x14ac:dyDescent="0.2">
      <c r="J534">
        <v>533</v>
      </c>
      <c r="K534">
        <v>232.78940000000003</v>
      </c>
      <c r="L534">
        <v>226.64</v>
      </c>
    </row>
    <row r="535" spans="10:12" x14ac:dyDescent="0.2">
      <c r="J535">
        <v>534</v>
      </c>
      <c r="K535">
        <v>225.96839999999992</v>
      </c>
      <c r="L535">
        <v>226.64</v>
      </c>
    </row>
    <row r="536" spans="10:12" x14ac:dyDescent="0.2">
      <c r="J536">
        <v>535</v>
      </c>
      <c r="K536">
        <v>254.38740000000013</v>
      </c>
      <c r="L536">
        <v>243.26999999999998</v>
      </c>
    </row>
    <row r="537" spans="10:12" x14ac:dyDescent="0.2">
      <c r="J537">
        <v>536</v>
      </c>
      <c r="K537">
        <v>234.821</v>
      </c>
      <c r="L537">
        <v>226.755</v>
      </c>
    </row>
    <row r="538" spans="10:12" x14ac:dyDescent="0.2">
      <c r="J538">
        <v>537</v>
      </c>
      <c r="K538">
        <v>234.72819999999996</v>
      </c>
      <c r="L538">
        <v>228.07499999999999</v>
      </c>
    </row>
    <row r="539" spans="10:12" x14ac:dyDescent="0.2">
      <c r="J539">
        <v>538</v>
      </c>
      <c r="K539">
        <v>246.60480000000015</v>
      </c>
      <c r="L539">
        <v>233</v>
      </c>
    </row>
    <row r="540" spans="10:12" x14ac:dyDescent="0.2">
      <c r="J540">
        <v>539</v>
      </c>
      <c r="K540">
        <v>260.43220000000002</v>
      </c>
      <c r="L540">
        <v>249.86</v>
      </c>
    </row>
    <row r="541" spans="10:12" x14ac:dyDescent="0.2">
      <c r="J541">
        <v>540</v>
      </c>
      <c r="K541">
        <v>237.18900000000005</v>
      </c>
      <c r="L541">
        <v>229.28</v>
      </c>
    </row>
    <row r="542" spans="10:12" x14ac:dyDescent="0.2">
      <c r="J542">
        <v>541</v>
      </c>
      <c r="K542">
        <v>235.23239999999996</v>
      </c>
      <c r="L542">
        <v>233.20499999999998</v>
      </c>
    </row>
    <row r="543" spans="10:12" x14ac:dyDescent="0.2">
      <c r="J543">
        <v>542</v>
      </c>
      <c r="K543">
        <v>258.05640000000005</v>
      </c>
      <c r="L543">
        <v>267.2</v>
      </c>
    </row>
    <row r="544" spans="10:12" x14ac:dyDescent="0.2">
      <c r="J544">
        <v>543</v>
      </c>
      <c r="K544">
        <v>236.10219999999998</v>
      </c>
      <c r="L544">
        <v>226.755</v>
      </c>
    </row>
    <row r="545" spans="10:12" x14ac:dyDescent="0.2">
      <c r="J545">
        <v>544</v>
      </c>
      <c r="K545">
        <v>258.00079999999997</v>
      </c>
      <c r="L545">
        <v>254.25</v>
      </c>
    </row>
    <row r="546" spans="10:12" x14ac:dyDescent="0.2">
      <c r="J546">
        <v>545</v>
      </c>
      <c r="K546">
        <v>244.02700000000002</v>
      </c>
      <c r="L546">
        <v>242.62</v>
      </c>
    </row>
    <row r="547" spans="10:12" x14ac:dyDescent="0.2">
      <c r="J547">
        <v>546</v>
      </c>
      <c r="K547">
        <v>238.68219999999994</v>
      </c>
      <c r="L547">
        <v>236.72</v>
      </c>
    </row>
    <row r="548" spans="10:12" x14ac:dyDescent="0.2">
      <c r="J548">
        <v>547</v>
      </c>
      <c r="K548">
        <v>252.78780000000003</v>
      </c>
      <c r="L548">
        <v>237.13</v>
      </c>
    </row>
    <row r="549" spans="10:12" x14ac:dyDescent="0.2">
      <c r="J549">
        <v>548</v>
      </c>
      <c r="K549">
        <v>237.12059999999991</v>
      </c>
      <c r="L549">
        <v>226.755</v>
      </c>
    </row>
    <row r="550" spans="10:12" x14ac:dyDescent="0.2">
      <c r="J550">
        <v>549</v>
      </c>
      <c r="K550">
        <v>237.8192</v>
      </c>
      <c r="L550">
        <v>218.36</v>
      </c>
    </row>
    <row r="551" spans="10:12" x14ac:dyDescent="0.2">
      <c r="J551">
        <v>550</v>
      </c>
      <c r="K551">
        <v>250.09580000000003</v>
      </c>
      <c r="L551">
        <v>257.16999999999996</v>
      </c>
    </row>
    <row r="552" spans="10:12" x14ac:dyDescent="0.2">
      <c r="J552">
        <v>551</v>
      </c>
      <c r="K552">
        <v>229.535</v>
      </c>
      <c r="L552">
        <v>228.07499999999999</v>
      </c>
    </row>
    <row r="553" spans="10:12" x14ac:dyDescent="0.2">
      <c r="J553">
        <v>552</v>
      </c>
      <c r="K553">
        <v>228.18820000000002</v>
      </c>
      <c r="L553">
        <v>222.5</v>
      </c>
    </row>
    <row r="554" spans="10:12" x14ac:dyDescent="0.2">
      <c r="J554">
        <v>553</v>
      </c>
      <c r="K554">
        <v>232.86840000000007</v>
      </c>
      <c r="L554">
        <v>236.92500000000001</v>
      </c>
    </row>
    <row r="555" spans="10:12" x14ac:dyDescent="0.2">
      <c r="J555">
        <v>554</v>
      </c>
      <c r="K555">
        <v>239.77739999999997</v>
      </c>
      <c r="L555">
        <v>237.13</v>
      </c>
    </row>
    <row r="556" spans="10:12" x14ac:dyDescent="0.2">
      <c r="J556">
        <v>555</v>
      </c>
      <c r="K556">
        <v>222.82040000000003</v>
      </c>
      <c r="L556">
        <v>223.7</v>
      </c>
    </row>
    <row r="557" spans="10:12" x14ac:dyDescent="0.2">
      <c r="J557">
        <v>556</v>
      </c>
      <c r="K557">
        <v>235.77159999999995</v>
      </c>
      <c r="L557">
        <v>233</v>
      </c>
    </row>
    <row r="558" spans="10:12" x14ac:dyDescent="0.2">
      <c r="J558">
        <v>557</v>
      </c>
      <c r="K558">
        <v>242.21880000000013</v>
      </c>
      <c r="L558">
        <v>236.92500000000001</v>
      </c>
    </row>
    <row r="559" spans="10:12" x14ac:dyDescent="0.2">
      <c r="J559">
        <v>558</v>
      </c>
      <c r="K559">
        <v>227.4248</v>
      </c>
      <c r="L559">
        <v>217.32</v>
      </c>
    </row>
    <row r="560" spans="10:12" x14ac:dyDescent="0.2">
      <c r="J560">
        <v>559</v>
      </c>
      <c r="K560">
        <v>250.20720000000009</v>
      </c>
      <c r="L560">
        <v>249.86</v>
      </c>
    </row>
    <row r="561" spans="10:12" x14ac:dyDescent="0.2">
      <c r="J561">
        <v>560</v>
      </c>
      <c r="K561">
        <v>237.15720000000005</v>
      </c>
      <c r="L561">
        <v>239.79500000000002</v>
      </c>
    </row>
    <row r="562" spans="10:12" x14ac:dyDescent="0.2">
      <c r="J562">
        <v>561</v>
      </c>
      <c r="K562">
        <v>227.11679999999996</v>
      </c>
      <c r="L562">
        <v>218.51999999999998</v>
      </c>
    </row>
    <row r="563" spans="10:12" x14ac:dyDescent="0.2">
      <c r="J563">
        <v>562</v>
      </c>
      <c r="K563">
        <v>246.05560000000003</v>
      </c>
      <c r="L563">
        <v>237.13</v>
      </c>
    </row>
    <row r="564" spans="10:12" x14ac:dyDescent="0.2">
      <c r="J564">
        <v>563</v>
      </c>
      <c r="K564">
        <v>247.11840000000007</v>
      </c>
      <c r="L564">
        <v>248.52</v>
      </c>
    </row>
    <row r="565" spans="10:12" x14ac:dyDescent="0.2">
      <c r="J565">
        <v>564</v>
      </c>
      <c r="K565">
        <v>235.33799999999999</v>
      </c>
      <c r="L565">
        <v>218.94</v>
      </c>
    </row>
    <row r="566" spans="10:12" x14ac:dyDescent="0.2">
      <c r="J566">
        <v>565</v>
      </c>
      <c r="K566">
        <v>267.50060000000002</v>
      </c>
      <c r="L566">
        <v>266.66999999999996</v>
      </c>
    </row>
    <row r="567" spans="10:12" x14ac:dyDescent="0.2">
      <c r="J567">
        <v>566</v>
      </c>
      <c r="K567">
        <v>249.31279999999998</v>
      </c>
      <c r="L567">
        <v>242.82499999999999</v>
      </c>
    </row>
    <row r="568" spans="10:12" x14ac:dyDescent="0.2">
      <c r="J568">
        <v>567</v>
      </c>
      <c r="K568">
        <v>236.77260000000001</v>
      </c>
      <c r="L568">
        <v>223.815</v>
      </c>
    </row>
    <row r="569" spans="10:12" x14ac:dyDescent="0.2">
      <c r="J569">
        <v>568</v>
      </c>
      <c r="K569">
        <v>253.52520000000004</v>
      </c>
      <c r="L569">
        <v>250.07</v>
      </c>
    </row>
    <row r="570" spans="10:12" x14ac:dyDescent="0.2">
      <c r="J570">
        <v>569</v>
      </c>
      <c r="K570">
        <v>259.70540000000005</v>
      </c>
      <c r="L570">
        <v>253.44</v>
      </c>
    </row>
    <row r="571" spans="10:12" x14ac:dyDescent="0.2">
      <c r="J571">
        <v>570</v>
      </c>
      <c r="K571">
        <v>244.62580000000005</v>
      </c>
      <c r="L571">
        <v>231.79500000000002</v>
      </c>
    </row>
    <row r="572" spans="10:12" x14ac:dyDescent="0.2">
      <c r="J572">
        <v>571</v>
      </c>
      <c r="K572">
        <v>229.83199999999997</v>
      </c>
      <c r="L572">
        <v>219.85</v>
      </c>
    </row>
    <row r="573" spans="10:12" x14ac:dyDescent="0.2">
      <c r="J573">
        <v>572</v>
      </c>
      <c r="K573">
        <v>218.23260000000002</v>
      </c>
      <c r="L573">
        <v>217.61</v>
      </c>
    </row>
    <row r="574" spans="10:12" x14ac:dyDescent="0.2">
      <c r="J574">
        <v>573</v>
      </c>
      <c r="K574">
        <v>250.80120000000002</v>
      </c>
      <c r="L574">
        <v>250.31</v>
      </c>
    </row>
    <row r="575" spans="10:12" x14ac:dyDescent="0.2">
      <c r="J575">
        <v>574</v>
      </c>
      <c r="K575">
        <v>258.33319999999986</v>
      </c>
      <c r="L575">
        <v>256.14999999999998</v>
      </c>
    </row>
    <row r="576" spans="10:12" x14ac:dyDescent="0.2">
      <c r="J576">
        <v>575</v>
      </c>
      <c r="K576">
        <v>241.57300000000006</v>
      </c>
      <c r="L576">
        <v>248.52</v>
      </c>
    </row>
    <row r="577" spans="10:12" x14ac:dyDescent="0.2">
      <c r="J577">
        <v>576</v>
      </c>
      <c r="K577">
        <v>225.27800000000008</v>
      </c>
      <c r="L577">
        <v>219.85</v>
      </c>
    </row>
    <row r="578" spans="10:12" x14ac:dyDescent="0.2">
      <c r="J578">
        <v>577</v>
      </c>
      <c r="K578">
        <v>239.51960000000003</v>
      </c>
      <c r="L578">
        <v>223.815</v>
      </c>
    </row>
    <row r="579" spans="10:12" x14ac:dyDescent="0.2">
      <c r="J579">
        <v>578</v>
      </c>
      <c r="K579">
        <v>248.98800000000006</v>
      </c>
      <c r="L579">
        <v>236.92500000000001</v>
      </c>
    </row>
    <row r="580" spans="10:12" x14ac:dyDescent="0.2">
      <c r="J580">
        <v>579</v>
      </c>
      <c r="K580">
        <v>254.3004</v>
      </c>
      <c r="L580">
        <v>250.73</v>
      </c>
    </row>
    <row r="581" spans="10:12" x14ac:dyDescent="0.2">
      <c r="J581">
        <v>580</v>
      </c>
      <c r="K581">
        <v>228.55060000000006</v>
      </c>
      <c r="L581">
        <v>236.92500000000001</v>
      </c>
    </row>
    <row r="582" spans="10:12" x14ac:dyDescent="0.2">
      <c r="J582">
        <v>581</v>
      </c>
      <c r="K582">
        <v>244.72379999999998</v>
      </c>
      <c r="L582">
        <v>243.26999999999998</v>
      </c>
    </row>
    <row r="583" spans="10:12" x14ac:dyDescent="0.2">
      <c r="J583">
        <v>582</v>
      </c>
      <c r="K583">
        <v>242.49639999999999</v>
      </c>
      <c r="L583">
        <v>223.815</v>
      </c>
    </row>
    <row r="584" spans="10:12" x14ac:dyDescent="0.2">
      <c r="J584">
        <v>583</v>
      </c>
      <c r="K584">
        <v>244.76339999999993</v>
      </c>
      <c r="L584">
        <v>250.07</v>
      </c>
    </row>
    <row r="585" spans="10:12" x14ac:dyDescent="0.2">
      <c r="J585">
        <v>584</v>
      </c>
      <c r="K585">
        <v>236.19359999999989</v>
      </c>
      <c r="L585">
        <v>228.07499999999999</v>
      </c>
    </row>
    <row r="586" spans="10:12" x14ac:dyDescent="0.2">
      <c r="J586">
        <v>585</v>
      </c>
      <c r="K586">
        <v>239.72699999999995</v>
      </c>
      <c r="L586">
        <v>237.13</v>
      </c>
    </row>
    <row r="587" spans="10:12" x14ac:dyDescent="0.2">
      <c r="J587">
        <v>586</v>
      </c>
      <c r="K587">
        <v>247.90180000000001</v>
      </c>
      <c r="L587">
        <v>250.73</v>
      </c>
    </row>
    <row r="588" spans="10:12" x14ac:dyDescent="0.2">
      <c r="J588">
        <v>587</v>
      </c>
      <c r="K588">
        <v>247.17760000000007</v>
      </c>
      <c r="L588">
        <v>236.92500000000001</v>
      </c>
    </row>
    <row r="589" spans="10:12" x14ac:dyDescent="0.2">
      <c r="J589">
        <v>588</v>
      </c>
      <c r="K589">
        <v>233.67399999999998</v>
      </c>
      <c r="L589">
        <v>233</v>
      </c>
    </row>
    <row r="590" spans="10:12" x14ac:dyDescent="0.2">
      <c r="J590">
        <v>589</v>
      </c>
      <c r="K590">
        <v>239.76460000000003</v>
      </c>
      <c r="L590">
        <v>236.72</v>
      </c>
    </row>
    <row r="591" spans="10:12" x14ac:dyDescent="0.2">
      <c r="J591">
        <v>590</v>
      </c>
      <c r="K591">
        <v>226.12420000000003</v>
      </c>
      <c r="L591">
        <v>218.36</v>
      </c>
    </row>
    <row r="592" spans="10:12" x14ac:dyDescent="0.2">
      <c r="J592">
        <v>591</v>
      </c>
      <c r="K592">
        <v>239.74939999999992</v>
      </c>
      <c r="L592">
        <v>223.7</v>
      </c>
    </row>
    <row r="593" spans="10:12" x14ac:dyDescent="0.2">
      <c r="J593">
        <v>592</v>
      </c>
      <c r="K593">
        <v>244.32040000000001</v>
      </c>
      <c r="L593">
        <v>233</v>
      </c>
    </row>
    <row r="594" spans="10:12" x14ac:dyDescent="0.2">
      <c r="J594">
        <v>593</v>
      </c>
      <c r="K594">
        <v>256.35140000000001</v>
      </c>
      <c r="L594">
        <v>249.86</v>
      </c>
    </row>
    <row r="595" spans="10:12" x14ac:dyDescent="0.2">
      <c r="J595">
        <v>594</v>
      </c>
      <c r="K595">
        <v>241.36920000000001</v>
      </c>
      <c r="L595">
        <v>228.07499999999999</v>
      </c>
    </row>
    <row r="596" spans="10:12" x14ac:dyDescent="0.2">
      <c r="J596">
        <v>595</v>
      </c>
      <c r="K596">
        <v>254.67320000000001</v>
      </c>
      <c r="L596">
        <v>267.2</v>
      </c>
    </row>
    <row r="597" spans="10:12" x14ac:dyDescent="0.2">
      <c r="J597">
        <v>596</v>
      </c>
      <c r="K597">
        <v>251.39839999999995</v>
      </c>
      <c r="L597">
        <v>246.435</v>
      </c>
    </row>
    <row r="598" spans="10:12" x14ac:dyDescent="0.2">
      <c r="J598">
        <v>597</v>
      </c>
      <c r="K598">
        <v>249.63400000000001</v>
      </c>
      <c r="L598">
        <v>243.72</v>
      </c>
    </row>
    <row r="599" spans="10:12" x14ac:dyDescent="0.2">
      <c r="J599">
        <v>598</v>
      </c>
      <c r="K599">
        <v>239.38260000000002</v>
      </c>
      <c r="L599">
        <v>226.87</v>
      </c>
    </row>
    <row r="600" spans="10:12" x14ac:dyDescent="0.2">
      <c r="J600">
        <v>599</v>
      </c>
      <c r="K600">
        <v>245.55880000000002</v>
      </c>
      <c r="L600">
        <v>249.41</v>
      </c>
    </row>
    <row r="601" spans="10:12" x14ac:dyDescent="0.2">
      <c r="J601">
        <v>600</v>
      </c>
      <c r="K601">
        <v>240.9502</v>
      </c>
      <c r="L601">
        <v>248.52</v>
      </c>
    </row>
    <row r="602" spans="10:12" x14ac:dyDescent="0.2">
      <c r="J602">
        <v>601</v>
      </c>
      <c r="K602">
        <v>260.404</v>
      </c>
      <c r="L602">
        <v>258.19</v>
      </c>
    </row>
    <row r="603" spans="10:12" x14ac:dyDescent="0.2">
      <c r="J603">
        <v>602</v>
      </c>
      <c r="K603">
        <v>237.69559999999993</v>
      </c>
      <c r="L603">
        <v>236.72</v>
      </c>
    </row>
    <row r="604" spans="10:12" x14ac:dyDescent="0.2">
      <c r="J604">
        <v>603</v>
      </c>
      <c r="K604">
        <v>254.70720000000009</v>
      </c>
      <c r="L604">
        <v>236.72</v>
      </c>
    </row>
    <row r="605" spans="10:12" x14ac:dyDescent="0.2">
      <c r="J605">
        <v>604</v>
      </c>
      <c r="K605">
        <v>259.67720000000003</v>
      </c>
      <c r="L605">
        <v>258.19</v>
      </c>
    </row>
    <row r="606" spans="10:12" x14ac:dyDescent="0.2">
      <c r="J606">
        <v>605</v>
      </c>
      <c r="K606">
        <v>242.44420000000005</v>
      </c>
      <c r="L606">
        <v>236.72</v>
      </c>
    </row>
    <row r="607" spans="10:12" x14ac:dyDescent="0.2">
      <c r="J607">
        <v>606</v>
      </c>
      <c r="K607">
        <v>236.81600000000003</v>
      </c>
      <c r="L607">
        <v>226.87</v>
      </c>
    </row>
    <row r="608" spans="10:12" x14ac:dyDescent="0.2">
      <c r="J608">
        <v>607</v>
      </c>
      <c r="K608">
        <v>240.81079999999983</v>
      </c>
      <c r="L608">
        <v>250.73</v>
      </c>
    </row>
    <row r="609" spans="10:12" x14ac:dyDescent="0.2">
      <c r="J609">
        <v>608</v>
      </c>
      <c r="K609">
        <v>232.04700000000005</v>
      </c>
      <c r="L609">
        <v>226.755</v>
      </c>
    </row>
    <row r="610" spans="10:12" x14ac:dyDescent="0.2">
      <c r="J610">
        <v>609</v>
      </c>
      <c r="K610">
        <v>240.16679999999997</v>
      </c>
      <c r="L610">
        <v>236.72</v>
      </c>
    </row>
    <row r="611" spans="10:12" x14ac:dyDescent="0.2">
      <c r="J611">
        <v>610</v>
      </c>
      <c r="K611">
        <v>222.79300000000009</v>
      </c>
      <c r="L611">
        <v>223.7</v>
      </c>
    </row>
    <row r="612" spans="10:12" x14ac:dyDescent="0.2">
      <c r="J612">
        <v>611</v>
      </c>
      <c r="K612">
        <v>226.76840000000007</v>
      </c>
      <c r="L612">
        <v>218.65</v>
      </c>
    </row>
    <row r="613" spans="10:12" x14ac:dyDescent="0.2">
      <c r="J613">
        <v>612</v>
      </c>
      <c r="K613">
        <v>238.77020000000005</v>
      </c>
      <c r="L613">
        <v>231.79500000000002</v>
      </c>
    </row>
    <row r="614" spans="10:12" x14ac:dyDescent="0.2">
      <c r="J614">
        <v>613</v>
      </c>
      <c r="K614">
        <v>243.96079999999992</v>
      </c>
      <c r="L614">
        <v>236.92500000000001</v>
      </c>
    </row>
    <row r="615" spans="10:12" x14ac:dyDescent="0.2">
      <c r="J615">
        <v>614</v>
      </c>
      <c r="K615">
        <v>237.80720000000002</v>
      </c>
      <c r="L615">
        <v>223.7</v>
      </c>
    </row>
    <row r="616" spans="10:12" x14ac:dyDescent="0.2">
      <c r="J616">
        <v>615</v>
      </c>
      <c r="K616">
        <v>251.26439999999999</v>
      </c>
      <c r="L616">
        <v>242.82499999999999</v>
      </c>
    </row>
    <row r="617" spans="10:12" x14ac:dyDescent="0.2">
      <c r="J617">
        <v>616</v>
      </c>
      <c r="K617">
        <v>236.85959999999992</v>
      </c>
      <c r="L617">
        <v>229.28</v>
      </c>
    </row>
    <row r="618" spans="10:12" x14ac:dyDescent="0.2">
      <c r="J618">
        <v>617</v>
      </c>
      <c r="K618">
        <v>251.20440000000002</v>
      </c>
      <c r="L618">
        <v>239.79500000000002</v>
      </c>
    </row>
    <row r="619" spans="10:12" x14ac:dyDescent="0.2">
      <c r="J619">
        <v>618</v>
      </c>
      <c r="K619">
        <v>242.40759999999992</v>
      </c>
      <c r="L619">
        <v>248.965</v>
      </c>
    </row>
    <row r="620" spans="10:12" x14ac:dyDescent="0.2">
      <c r="J620">
        <v>619</v>
      </c>
      <c r="K620">
        <v>225.89919999999995</v>
      </c>
      <c r="L620">
        <v>218.94</v>
      </c>
    </row>
    <row r="621" spans="10:12" x14ac:dyDescent="0.2">
      <c r="J621">
        <v>620</v>
      </c>
      <c r="K621">
        <v>250.25400000000005</v>
      </c>
      <c r="L621">
        <v>248.52</v>
      </c>
    </row>
    <row r="622" spans="10:12" x14ac:dyDescent="0.2">
      <c r="J622">
        <v>621</v>
      </c>
      <c r="K622">
        <v>238.69579999999993</v>
      </c>
      <c r="L622">
        <v>233</v>
      </c>
    </row>
    <row r="623" spans="10:12" x14ac:dyDescent="0.2">
      <c r="J623">
        <v>622</v>
      </c>
      <c r="K623">
        <v>246.33980000000008</v>
      </c>
      <c r="L623">
        <v>224.11</v>
      </c>
    </row>
    <row r="624" spans="10:12" x14ac:dyDescent="0.2">
      <c r="J624">
        <v>623</v>
      </c>
      <c r="K624">
        <v>235.84940000000003</v>
      </c>
      <c r="L624">
        <v>242.62</v>
      </c>
    </row>
    <row r="625" spans="10:12" x14ac:dyDescent="0.2">
      <c r="J625">
        <v>624</v>
      </c>
      <c r="K625">
        <v>247.89999999999998</v>
      </c>
      <c r="L625">
        <v>233</v>
      </c>
    </row>
    <row r="626" spans="10:12" x14ac:dyDescent="0.2">
      <c r="J626">
        <v>625</v>
      </c>
      <c r="K626">
        <v>237.80280000000002</v>
      </c>
      <c r="L626">
        <v>237.13</v>
      </c>
    </row>
    <row r="627" spans="10:12" x14ac:dyDescent="0.2">
      <c r="J627">
        <v>626</v>
      </c>
      <c r="K627">
        <v>257.02420000000001</v>
      </c>
      <c r="L627">
        <v>250.51999999999998</v>
      </c>
    </row>
    <row r="628" spans="10:12" x14ac:dyDescent="0.2">
      <c r="J628">
        <v>627</v>
      </c>
      <c r="K628">
        <v>243.63660000000004</v>
      </c>
      <c r="L628">
        <v>229.28</v>
      </c>
    </row>
    <row r="629" spans="10:12" x14ac:dyDescent="0.2">
      <c r="J629">
        <v>628</v>
      </c>
      <c r="K629">
        <v>251.44220000000007</v>
      </c>
      <c r="L629">
        <v>262.69499999999999</v>
      </c>
    </row>
    <row r="630" spans="10:12" x14ac:dyDescent="0.2">
      <c r="J630">
        <v>629</v>
      </c>
      <c r="K630">
        <v>245.0372000000001</v>
      </c>
      <c r="L630">
        <v>228.07499999999999</v>
      </c>
    </row>
    <row r="631" spans="10:12" x14ac:dyDescent="0.2">
      <c r="J631">
        <v>630</v>
      </c>
      <c r="K631">
        <v>225.63760000000011</v>
      </c>
      <c r="L631">
        <v>223.7</v>
      </c>
    </row>
    <row r="632" spans="10:12" x14ac:dyDescent="0.2">
      <c r="J632">
        <v>631</v>
      </c>
      <c r="K632">
        <v>260.77060000000006</v>
      </c>
      <c r="L632">
        <v>253.23</v>
      </c>
    </row>
    <row r="633" spans="10:12" x14ac:dyDescent="0.2">
      <c r="J633">
        <v>632</v>
      </c>
      <c r="K633">
        <v>243.0316</v>
      </c>
      <c r="L633">
        <v>238.02499999999998</v>
      </c>
    </row>
    <row r="634" spans="10:12" x14ac:dyDescent="0.2">
      <c r="J634">
        <v>633</v>
      </c>
      <c r="K634">
        <v>256.59420000000006</v>
      </c>
      <c r="L634">
        <v>257.16999999999996</v>
      </c>
    </row>
    <row r="635" spans="10:12" x14ac:dyDescent="0.2">
      <c r="J635">
        <v>634</v>
      </c>
      <c r="K635">
        <v>238.6584</v>
      </c>
      <c r="L635">
        <v>218.94</v>
      </c>
    </row>
    <row r="636" spans="10:12" x14ac:dyDescent="0.2">
      <c r="J636">
        <v>635</v>
      </c>
      <c r="K636">
        <v>247.22900000000001</v>
      </c>
      <c r="L636">
        <v>242.62</v>
      </c>
    </row>
    <row r="637" spans="10:12" x14ac:dyDescent="0.2">
      <c r="J637">
        <v>636</v>
      </c>
      <c r="K637">
        <v>242.62700000000012</v>
      </c>
      <c r="L637">
        <v>243.26999999999998</v>
      </c>
    </row>
    <row r="638" spans="10:12" x14ac:dyDescent="0.2">
      <c r="J638">
        <v>637</v>
      </c>
      <c r="K638">
        <v>241.82940000000002</v>
      </c>
      <c r="L638">
        <v>236.92500000000001</v>
      </c>
    </row>
    <row r="639" spans="10:12" x14ac:dyDescent="0.2">
      <c r="J639">
        <v>638</v>
      </c>
      <c r="K639">
        <v>238.29660000000004</v>
      </c>
      <c r="L639">
        <v>248.52</v>
      </c>
    </row>
    <row r="640" spans="10:12" x14ac:dyDescent="0.2">
      <c r="J640">
        <v>639</v>
      </c>
      <c r="K640">
        <v>229.83240000000006</v>
      </c>
      <c r="L640">
        <v>227.95999999999998</v>
      </c>
    </row>
    <row r="641" spans="10:12" x14ac:dyDescent="0.2">
      <c r="J641">
        <v>640</v>
      </c>
      <c r="K641">
        <v>227.7748</v>
      </c>
      <c r="L641">
        <v>219.85</v>
      </c>
    </row>
    <row r="642" spans="10:12" x14ac:dyDescent="0.2">
      <c r="J642">
        <v>641</v>
      </c>
      <c r="K642">
        <v>257.45179999999999</v>
      </c>
      <c r="L642">
        <v>242.82499999999999</v>
      </c>
    </row>
    <row r="643" spans="10:12" x14ac:dyDescent="0.2">
      <c r="J643">
        <v>642</v>
      </c>
      <c r="K643">
        <v>248.18880000000007</v>
      </c>
      <c r="L643">
        <v>257.16999999999996</v>
      </c>
    </row>
    <row r="644" spans="10:12" x14ac:dyDescent="0.2">
      <c r="J644">
        <v>643</v>
      </c>
      <c r="K644">
        <v>232.41460000000006</v>
      </c>
      <c r="L644">
        <v>226.755</v>
      </c>
    </row>
    <row r="645" spans="10:12" x14ac:dyDescent="0.2">
      <c r="J645">
        <v>644</v>
      </c>
      <c r="K645">
        <v>255.4948</v>
      </c>
      <c r="L645">
        <v>242.82499999999999</v>
      </c>
    </row>
    <row r="646" spans="10:12" x14ac:dyDescent="0.2">
      <c r="J646">
        <v>645</v>
      </c>
      <c r="K646">
        <v>243.68220000000002</v>
      </c>
      <c r="L646">
        <v>237.13</v>
      </c>
    </row>
    <row r="647" spans="10:12" x14ac:dyDescent="0.2">
      <c r="J647">
        <v>646</v>
      </c>
      <c r="K647">
        <v>243.34619999999995</v>
      </c>
      <c r="L647">
        <v>243.26999999999998</v>
      </c>
    </row>
    <row r="648" spans="10:12" x14ac:dyDescent="0.2">
      <c r="J648">
        <v>647</v>
      </c>
      <c r="K648">
        <v>243.53320000000002</v>
      </c>
      <c r="L648">
        <v>228.07499999999999</v>
      </c>
    </row>
    <row r="649" spans="10:12" x14ac:dyDescent="0.2">
      <c r="J649">
        <v>648</v>
      </c>
      <c r="K649">
        <v>236.73740000000001</v>
      </c>
      <c r="L649">
        <v>229.28</v>
      </c>
    </row>
    <row r="650" spans="10:12" x14ac:dyDescent="0.2">
      <c r="J650">
        <v>649</v>
      </c>
      <c r="K650">
        <v>241.56300000000002</v>
      </c>
      <c r="L650">
        <v>229.28</v>
      </c>
    </row>
    <row r="651" spans="10:12" x14ac:dyDescent="0.2">
      <c r="J651">
        <v>650</v>
      </c>
      <c r="K651">
        <v>234.0866</v>
      </c>
      <c r="L651">
        <v>225.01999999999998</v>
      </c>
    </row>
    <row r="652" spans="10:12" x14ac:dyDescent="0.2">
      <c r="J652">
        <v>651</v>
      </c>
      <c r="K652">
        <v>210.19060000000002</v>
      </c>
      <c r="L652">
        <v>212.95999999999998</v>
      </c>
    </row>
    <row r="653" spans="10:12" x14ac:dyDescent="0.2">
      <c r="J653">
        <v>652</v>
      </c>
      <c r="K653">
        <v>227.14160000000007</v>
      </c>
      <c r="L653">
        <v>223.7</v>
      </c>
    </row>
    <row r="654" spans="10:12" x14ac:dyDescent="0.2">
      <c r="J654">
        <v>653</v>
      </c>
      <c r="K654">
        <v>240.31979999999993</v>
      </c>
      <c r="L654">
        <v>238.8</v>
      </c>
    </row>
    <row r="655" spans="10:12" x14ac:dyDescent="0.2">
      <c r="J655">
        <v>654</v>
      </c>
      <c r="K655">
        <v>248.43</v>
      </c>
      <c r="L655">
        <v>250.73</v>
      </c>
    </row>
    <row r="656" spans="10:12" x14ac:dyDescent="0.2">
      <c r="J656">
        <v>655</v>
      </c>
      <c r="K656">
        <v>242.14339999999996</v>
      </c>
      <c r="L656">
        <v>238.9</v>
      </c>
    </row>
    <row r="657" spans="10:12" x14ac:dyDescent="0.2">
      <c r="J657">
        <v>656</v>
      </c>
      <c r="K657">
        <v>223.91480000000004</v>
      </c>
      <c r="L657">
        <v>218.51999999999998</v>
      </c>
    </row>
    <row r="658" spans="10:12" x14ac:dyDescent="0.2">
      <c r="J658">
        <v>657</v>
      </c>
      <c r="K658">
        <v>252.34120000000001</v>
      </c>
      <c r="L658">
        <v>250.31</v>
      </c>
    </row>
    <row r="659" spans="10:12" x14ac:dyDescent="0.2">
      <c r="J659">
        <v>658</v>
      </c>
      <c r="K659">
        <v>251.2636</v>
      </c>
      <c r="L659">
        <v>223.815</v>
      </c>
    </row>
    <row r="660" spans="10:12" x14ac:dyDescent="0.2">
      <c r="J660">
        <v>659</v>
      </c>
      <c r="K660">
        <v>235.62640000000002</v>
      </c>
      <c r="L660">
        <v>226.755</v>
      </c>
    </row>
    <row r="661" spans="10:12" x14ac:dyDescent="0.2">
      <c r="J661">
        <v>660</v>
      </c>
      <c r="K661">
        <v>236.17740000000001</v>
      </c>
      <c r="L661">
        <v>233</v>
      </c>
    </row>
    <row r="662" spans="10:12" x14ac:dyDescent="0.2">
      <c r="J662">
        <v>661</v>
      </c>
      <c r="K662">
        <v>234.19560000000013</v>
      </c>
      <c r="L662">
        <v>233</v>
      </c>
    </row>
    <row r="663" spans="10:12" x14ac:dyDescent="0.2">
      <c r="J663">
        <v>662</v>
      </c>
      <c r="K663">
        <v>220.05139999999994</v>
      </c>
      <c r="L663">
        <v>223.7</v>
      </c>
    </row>
    <row r="664" spans="10:12" x14ac:dyDescent="0.2">
      <c r="J664">
        <v>663</v>
      </c>
      <c r="K664">
        <v>246.81460000000004</v>
      </c>
      <c r="L664">
        <v>250.51999999999998</v>
      </c>
    </row>
    <row r="665" spans="10:12" x14ac:dyDescent="0.2">
      <c r="J665">
        <v>664</v>
      </c>
      <c r="K665">
        <v>229.53640000000004</v>
      </c>
      <c r="L665">
        <v>227.95999999999998</v>
      </c>
    </row>
    <row r="666" spans="10:12" x14ac:dyDescent="0.2">
      <c r="J666">
        <v>665</v>
      </c>
      <c r="K666">
        <v>237.45699999999999</v>
      </c>
      <c r="L666">
        <v>220.76</v>
      </c>
    </row>
    <row r="667" spans="10:12" x14ac:dyDescent="0.2">
      <c r="J667">
        <v>666</v>
      </c>
      <c r="K667">
        <v>245.17439999999996</v>
      </c>
      <c r="L667">
        <v>253.44</v>
      </c>
    </row>
    <row r="668" spans="10:12" x14ac:dyDescent="0.2">
      <c r="J668">
        <v>667</v>
      </c>
      <c r="K668">
        <v>231.27420000000006</v>
      </c>
      <c r="L668">
        <v>226.64</v>
      </c>
    </row>
    <row r="669" spans="10:12" x14ac:dyDescent="0.2">
      <c r="J669">
        <v>668</v>
      </c>
      <c r="K669">
        <v>229.21579999999997</v>
      </c>
      <c r="L669">
        <v>218.94</v>
      </c>
    </row>
    <row r="670" spans="10:12" x14ac:dyDescent="0.2">
      <c r="J670">
        <v>669</v>
      </c>
      <c r="K670">
        <v>243.60599999999999</v>
      </c>
      <c r="L670">
        <v>242.82499999999999</v>
      </c>
    </row>
    <row r="671" spans="10:12" x14ac:dyDescent="0.2">
      <c r="J671">
        <v>670</v>
      </c>
      <c r="K671">
        <v>245.61239999999995</v>
      </c>
      <c r="L671">
        <v>254.45999999999998</v>
      </c>
    </row>
    <row r="672" spans="10:12" x14ac:dyDescent="0.2">
      <c r="J672">
        <v>671</v>
      </c>
      <c r="K672">
        <v>256.21099999999996</v>
      </c>
      <c r="L672">
        <v>249.41</v>
      </c>
    </row>
    <row r="673" spans="10:12" x14ac:dyDescent="0.2">
      <c r="J673">
        <v>672</v>
      </c>
      <c r="K673">
        <v>257.13360000000006</v>
      </c>
      <c r="L673">
        <v>267.2</v>
      </c>
    </row>
    <row r="674" spans="10:12" x14ac:dyDescent="0.2">
      <c r="J674">
        <v>673</v>
      </c>
      <c r="K674">
        <v>236.23780000000002</v>
      </c>
      <c r="L674">
        <v>242.62</v>
      </c>
    </row>
    <row r="675" spans="10:12" x14ac:dyDescent="0.2">
      <c r="J675">
        <v>674</v>
      </c>
      <c r="K675">
        <v>238.208</v>
      </c>
      <c r="L675">
        <v>242.82499999999999</v>
      </c>
    </row>
    <row r="676" spans="10:12" x14ac:dyDescent="0.2">
      <c r="J676">
        <v>675</v>
      </c>
      <c r="K676">
        <v>270.99200000000008</v>
      </c>
      <c r="L676">
        <v>272.19499999999999</v>
      </c>
    </row>
    <row r="677" spans="10:12" x14ac:dyDescent="0.2">
      <c r="J677">
        <v>676</v>
      </c>
      <c r="K677">
        <v>238.75600000000003</v>
      </c>
      <c r="L677">
        <v>242.82499999999999</v>
      </c>
    </row>
    <row r="678" spans="10:12" x14ac:dyDescent="0.2">
      <c r="J678">
        <v>677</v>
      </c>
      <c r="K678">
        <v>234.53220000000002</v>
      </c>
      <c r="L678">
        <v>236.92500000000001</v>
      </c>
    </row>
    <row r="679" spans="10:12" x14ac:dyDescent="0.2">
      <c r="J679">
        <v>678</v>
      </c>
      <c r="K679">
        <v>236.50480000000007</v>
      </c>
      <c r="L679">
        <v>226.755</v>
      </c>
    </row>
    <row r="680" spans="10:12" x14ac:dyDescent="0.2">
      <c r="J680">
        <v>679</v>
      </c>
      <c r="K680">
        <v>249.81459999999998</v>
      </c>
      <c r="L680">
        <v>237.13</v>
      </c>
    </row>
    <row r="681" spans="10:12" x14ac:dyDescent="0.2">
      <c r="J681">
        <v>680</v>
      </c>
      <c r="K681">
        <v>234.73660000000001</v>
      </c>
      <c r="L681">
        <v>228.07499999999999</v>
      </c>
    </row>
    <row r="682" spans="10:12" x14ac:dyDescent="0.2">
      <c r="J682">
        <v>681</v>
      </c>
      <c r="K682">
        <v>247.06500000000003</v>
      </c>
      <c r="L682">
        <v>229.28</v>
      </c>
    </row>
    <row r="683" spans="10:12" x14ac:dyDescent="0.2">
      <c r="J683">
        <v>682</v>
      </c>
      <c r="K683">
        <v>245.63340000000008</v>
      </c>
      <c r="L683">
        <v>248.965</v>
      </c>
    </row>
    <row r="684" spans="10:12" x14ac:dyDescent="0.2">
      <c r="J684">
        <v>683</v>
      </c>
      <c r="K684">
        <v>253.12279999999996</v>
      </c>
      <c r="L684">
        <v>250.51999999999998</v>
      </c>
    </row>
    <row r="685" spans="10:12" x14ac:dyDescent="0.2">
      <c r="J685">
        <v>684</v>
      </c>
      <c r="K685">
        <v>242.87400000000002</v>
      </c>
      <c r="L685">
        <v>249.41500000000002</v>
      </c>
    </row>
    <row r="686" spans="10:12" x14ac:dyDescent="0.2">
      <c r="J686">
        <v>685</v>
      </c>
      <c r="K686">
        <v>237.53640000000007</v>
      </c>
      <c r="L686">
        <v>228.07499999999999</v>
      </c>
    </row>
    <row r="687" spans="10:12" x14ac:dyDescent="0.2">
      <c r="J687">
        <v>686</v>
      </c>
      <c r="K687">
        <v>241.89020000000008</v>
      </c>
      <c r="L687">
        <v>228.07499999999999</v>
      </c>
    </row>
    <row r="688" spans="10:12" x14ac:dyDescent="0.2">
      <c r="J688">
        <v>687</v>
      </c>
      <c r="K688">
        <v>231.90199999999993</v>
      </c>
      <c r="L688">
        <v>227.95999999999998</v>
      </c>
    </row>
    <row r="689" spans="10:12" x14ac:dyDescent="0.2">
      <c r="J689">
        <v>688</v>
      </c>
      <c r="K689">
        <v>235.30379999999991</v>
      </c>
      <c r="L689">
        <v>220.76</v>
      </c>
    </row>
    <row r="690" spans="10:12" x14ac:dyDescent="0.2">
      <c r="J690">
        <v>689</v>
      </c>
      <c r="K690">
        <v>244.33039999999997</v>
      </c>
      <c r="L690">
        <v>233.20499999999998</v>
      </c>
    </row>
    <row r="691" spans="10:12" x14ac:dyDescent="0.2">
      <c r="J691">
        <v>690</v>
      </c>
      <c r="K691">
        <v>236.10700000000006</v>
      </c>
      <c r="L691">
        <v>236.92500000000001</v>
      </c>
    </row>
    <row r="692" spans="10:12" x14ac:dyDescent="0.2">
      <c r="J692">
        <v>691</v>
      </c>
      <c r="K692">
        <v>256.38240000000008</v>
      </c>
      <c r="L692">
        <v>253.23</v>
      </c>
    </row>
    <row r="693" spans="10:12" x14ac:dyDescent="0.2">
      <c r="J693">
        <v>692</v>
      </c>
      <c r="K693">
        <v>249.41299999999998</v>
      </c>
      <c r="L693">
        <v>236.92500000000001</v>
      </c>
    </row>
    <row r="694" spans="10:12" x14ac:dyDescent="0.2">
      <c r="J694">
        <v>693</v>
      </c>
      <c r="K694">
        <v>225.64320000000006</v>
      </c>
      <c r="L694">
        <v>219.85</v>
      </c>
    </row>
    <row r="695" spans="10:12" x14ac:dyDescent="0.2">
      <c r="J695">
        <v>694</v>
      </c>
      <c r="K695">
        <v>249.62179999999998</v>
      </c>
      <c r="L695">
        <v>249.86</v>
      </c>
    </row>
    <row r="696" spans="10:12" x14ac:dyDescent="0.2">
      <c r="J696">
        <v>695</v>
      </c>
      <c r="K696">
        <v>238.66980000000004</v>
      </c>
      <c r="L696">
        <v>237.13</v>
      </c>
    </row>
    <row r="697" spans="10:12" x14ac:dyDescent="0.2">
      <c r="J697">
        <v>696</v>
      </c>
      <c r="K697">
        <v>232.89380000000006</v>
      </c>
      <c r="L697">
        <v>231.79500000000002</v>
      </c>
    </row>
    <row r="698" spans="10:12" x14ac:dyDescent="0.2">
      <c r="J698">
        <v>697</v>
      </c>
      <c r="K698">
        <v>248.31620000000007</v>
      </c>
      <c r="L698">
        <v>250.51999999999998</v>
      </c>
    </row>
    <row r="699" spans="10:12" x14ac:dyDescent="0.2">
      <c r="J699">
        <v>698</v>
      </c>
      <c r="K699">
        <v>237.38840000000005</v>
      </c>
      <c r="L699">
        <v>227.95999999999998</v>
      </c>
    </row>
    <row r="700" spans="10:12" x14ac:dyDescent="0.2">
      <c r="J700">
        <v>699</v>
      </c>
      <c r="K700">
        <v>243.27080000000001</v>
      </c>
      <c r="L700">
        <v>242.82499999999999</v>
      </c>
    </row>
    <row r="701" spans="10:12" x14ac:dyDescent="0.2">
      <c r="J701">
        <v>700</v>
      </c>
      <c r="K701">
        <v>252.2268</v>
      </c>
      <c r="L701">
        <v>250.73</v>
      </c>
    </row>
    <row r="702" spans="10:12" x14ac:dyDescent="0.2">
      <c r="J702">
        <v>701</v>
      </c>
      <c r="K702">
        <v>234.32940000000002</v>
      </c>
      <c r="L702">
        <v>228.07499999999999</v>
      </c>
    </row>
    <row r="703" spans="10:12" x14ac:dyDescent="0.2">
      <c r="J703">
        <v>702</v>
      </c>
      <c r="K703">
        <v>244.39259999999999</v>
      </c>
      <c r="L703">
        <v>233.20499999999998</v>
      </c>
    </row>
    <row r="704" spans="10:12" x14ac:dyDescent="0.2">
      <c r="J704">
        <v>703</v>
      </c>
      <c r="K704">
        <v>254.91540000000012</v>
      </c>
      <c r="L704">
        <v>277.19</v>
      </c>
    </row>
    <row r="705" spans="10:12" x14ac:dyDescent="0.2">
      <c r="J705">
        <v>704</v>
      </c>
      <c r="K705">
        <v>255.51600000000005</v>
      </c>
      <c r="L705">
        <v>250.31</v>
      </c>
    </row>
    <row r="706" spans="10:12" x14ac:dyDescent="0.2">
      <c r="J706">
        <v>705</v>
      </c>
      <c r="K706">
        <v>247.446</v>
      </c>
      <c r="L706">
        <v>236.72</v>
      </c>
    </row>
    <row r="707" spans="10:12" x14ac:dyDescent="0.2">
      <c r="J707">
        <v>706</v>
      </c>
      <c r="K707">
        <v>248.23879999999997</v>
      </c>
      <c r="L707">
        <v>250.31</v>
      </c>
    </row>
    <row r="708" spans="10:12" x14ac:dyDescent="0.2">
      <c r="J708">
        <v>707</v>
      </c>
      <c r="K708">
        <v>254.93699999999998</v>
      </c>
      <c r="L708">
        <v>248.52</v>
      </c>
    </row>
    <row r="709" spans="10:12" x14ac:dyDescent="0.2">
      <c r="J709">
        <v>708</v>
      </c>
      <c r="K709">
        <v>238.71040000000008</v>
      </c>
      <c r="L709">
        <v>229.28</v>
      </c>
    </row>
    <row r="710" spans="10:12" x14ac:dyDescent="0.2">
      <c r="J710">
        <v>709</v>
      </c>
      <c r="K710">
        <v>240.48439999999988</v>
      </c>
      <c r="L710">
        <v>223.7</v>
      </c>
    </row>
    <row r="711" spans="10:12" x14ac:dyDescent="0.2">
      <c r="J711">
        <v>710</v>
      </c>
      <c r="K711">
        <v>233.25640000000007</v>
      </c>
      <c r="L711">
        <v>233</v>
      </c>
    </row>
    <row r="712" spans="10:12" x14ac:dyDescent="0.2">
      <c r="J712">
        <v>711</v>
      </c>
      <c r="K712">
        <v>221.482</v>
      </c>
      <c r="L712">
        <v>218.36</v>
      </c>
    </row>
    <row r="713" spans="10:12" x14ac:dyDescent="0.2">
      <c r="J713">
        <v>712</v>
      </c>
      <c r="K713">
        <v>234.93419999999998</v>
      </c>
      <c r="L713">
        <v>233</v>
      </c>
    </row>
    <row r="714" spans="10:12" x14ac:dyDescent="0.2">
      <c r="J714">
        <v>713</v>
      </c>
      <c r="K714">
        <v>244.28160000000003</v>
      </c>
      <c r="L714">
        <v>249.86</v>
      </c>
    </row>
    <row r="715" spans="10:12" x14ac:dyDescent="0.2">
      <c r="J715">
        <v>714</v>
      </c>
      <c r="K715">
        <v>232.26900000000001</v>
      </c>
      <c r="L715">
        <v>223.7</v>
      </c>
    </row>
    <row r="716" spans="10:12" x14ac:dyDescent="0.2">
      <c r="J716">
        <v>715</v>
      </c>
      <c r="K716">
        <v>243.167</v>
      </c>
      <c r="L716">
        <v>242.82499999999999</v>
      </c>
    </row>
    <row r="717" spans="10:12" x14ac:dyDescent="0.2">
      <c r="J717">
        <v>716</v>
      </c>
      <c r="K717">
        <v>241.86359999999993</v>
      </c>
      <c r="L717">
        <v>248.52</v>
      </c>
    </row>
    <row r="718" spans="10:12" x14ac:dyDescent="0.2">
      <c r="J718">
        <v>717</v>
      </c>
      <c r="K718">
        <v>231.71160000000012</v>
      </c>
      <c r="L718">
        <v>226.87</v>
      </c>
    </row>
    <row r="719" spans="10:12" x14ac:dyDescent="0.2">
      <c r="J719">
        <v>718</v>
      </c>
      <c r="K719">
        <v>235.25080000000003</v>
      </c>
      <c r="L719">
        <v>222.79</v>
      </c>
    </row>
    <row r="720" spans="10:12" x14ac:dyDescent="0.2">
      <c r="J720">
        <v>719</v>
      </c>
      <c r="K720">
        <v>233.66239999999999</v>
      </c>
      <c r="L720">
        <v>231.68</v>
      </c>
    </row>
    <row r="721" spans="10:12" x14ac:dyDescent="0.2">
      <c r="J721">
        <v>720</v>
      </c>
      <c r="K721">
        <v>240.95640000000003</v>
      </c>
      <c r="L721">
        <v>236.92500000000001</v>
      </c>
    </row>
    <row r="722" spans="10:12" x14ac:dyDescent="0.2">
      <c r="J722">
        <v>721</v>
      </c>
      <c r="K722">
        <v>242.96580000000017</v>
      </c>
      <c r="L722">
        <v>248.965</v>
      </c>
    </row>
    <row r="723" spans="10:12" x14ac:dyDescent="0.2">
      <c r="J723">
        <v>722</v>
      </c>
      <c r="K723">
        <v>229.47859999999994</v>
      </c>
      <c r="L723">
        <v>219.85</v>
      </c>
    </row>
    <row r="724" spans="10:12" x14ac:dyDescent="0.2">
      <c r="J724">
        <v>723</v>
      </c>
      <c r="K724">
        <v>246.51019999999997</v>
      </c>
      <c r="L724">
        <v>242.82499999999999</v>
      </c>
    </row>
    <row r="725" spans="10:12" x14ac:dyDescent="0.2">
      <c r="J725">
        <v>724</v>
      </c>
      <c r="K725">
        <v>231.50239999999997</v>
      </c>
      <c r="L725">
        <v>222.5</v>
      </c>
    </row>
    <row r="726" spans="10:12" x14ac:dyDescent="0.2">
      <c r="J726">
        <v>725</v>
      </c>
      <c r="K726">
        <v>236.09740000000002</v>
      </c>
      <c r="L726">
        <v>228.07499999999999</v>
      </c>
    </row>
    <row r="727" spans="10:12" x14ac:dyDescent="0.2">
      <c r="J727">
        <v>726</v>
      </c>
      <c r="K727">
        <v>215.05740000000006</v>
      </c>
      <c r="L727">
        <v>215.39</v>
      </c>
    </row>
    <row r="728" spans="10:12" x14ac:dyDescent="0.2">
      <c r="J728">
        <v>727</v>
      </c>
      <c r="K728">
        <v>253.99959999999993</v>
      </c>
      <c r="L728">
        <v>249.41</v>
      </c>
    </row>
    <row r="729" spans="10:12" x14ac:dyDescent="0.2">
      <c r="J729">
        <v>728</v>
      </c>
      <c r="K729">
        <v>239.268</v>
      </c>
      <c r="L729">
        <v>233</v>
      </c>
    </row>
    <row r="730" spans="10:12" x14ac:dyDescent="0.2">
      <c r="J730">
        <v>729</v>
      </c>
      <c r="K730">
        <v>239.85179999999997</v>
      </c>
      <c r="L730">
        <v>249.86</v>
      </c>
    </row>
    <row r="731" spans="10:12" x14ac:dyDescent="0.2">
      <c r="J731">
        <v>730</v>
      </c>
      <c r="K731">
        <v>222.20280000000002</v>
      </c>
      <c r="L731">
        <v>212.95999999999998</v>
      </c>
    </row>
    <row r="732" spans="10:12" x14ac:dyDescent="0.2">
      <c r="J732">
        <v>731</v>
      </c>
      <c r="K732">
        <v>248.94200000000004</v>
      </c>
      <c r="L732">
        <v>249.41500000000002</v>
      </c>
    </row>
    <row r="733" spans="10:12" x14ac:dyDescent="0.2">
      <c r="J733">
        <v>732</v>
      </c>
      <c r="K733">
        <v>238.05899999999994</v>
      </c>
      <c r="L733">
        <v>227.54000000000002</v>
      </c>
    </row>
    <row r="734" spans="10:12" x14ac:dyDescent="0.2">
      <c r="J734">
        <v>733</v>
      </c>
      <c r="K734">
        <v>243.28379999999993</v>
      </c>
      <c r="L734">
        <v>256.14999999999998</v>
      </c>
    </row>
    <row r="735" spans="10:12" x14ac:dyDescent="0.2">
      <c r="J735">
        <v>734</v>
      </c>
      <c r="K735">
        <v>228.2038</v>
      </c>
      <c r="L735">
        <v>226.64</v>
      </c>
    </row>
    <row r="736" spans="10:12" x14ac:dyDescent="0.2">
      <c r="J736">
        <v>735</v>
      </c>
      <c r="K736">
        <v>252.03939999999994</v>
      </c>
      <c r="L736">
        <v>249.41</v>
      </c>
    </row>
    <row r="737" spans="10:12" x14ac:dyDescent="0.2">
      <c r="J737">
        <v>736</v>
      </c>
      <c r="K737">
        <v>235.50839999999997</v>
      </c>
      <c r="L737">
        <v>228.07499999999999</v>
      </c>
    </row>
    <row r="738" spans="10:12" x14ac:dyDescent="0.2">
      <c r="J738">
        <v>737</v>
      </c>
      <c r="K738">
        <v>239.97820000000004</v>
      </c>
      <c r="L738">
        <v>229.28</v>
      </c>
    </row>
    <row r="739" spans="10:12" x14ac:dyDescent="0.2">
      <c r="J739">
        <v>738</v>
      </c>
      <c r="K739">
        <v>234.39640000000003</v>
      </c>
      <c r="L739">
        <v>249.86</v>
      </c>
    </row>
    <row r="740" spans="10:12" x14ac:dyDescent="0.2">
      <c r="J740">
        <v>739</v>
      </c>
      <c r="K740">
        <v>232.1832</v>
      </c>
      <c r="L740">
        <v>236.72</v>
      </c>
    </row>
    <row r="741" spans="10:12" x14ac:dyDescent="0.2">
      <c r="J741">
        <v>740</v>
      </c>
      <c r="K741">
        <v>252.53020000000004</v>
      </c>
      <c r="L741">
        <v>248.52</v>
      </c>
    </row>
    <row r="742" spans="10:12" x14ac:dyDescent="0.2">
      <c r="J742">
        <v>741</v>
      </c>
      <c r="K742">
        <v>250.51480000000001</v>
      </c>
      <c r="L742">
        <v>233</v>
      </c>
    </row>
    <row r="743" spans="10:12" x14ac:dyDescent="0.2">
      <c r="J743">
        <v>742</v>
      </c>
      <c r="K743">
        <v>229.67700000000002</v>
      </c>
      <c r="L743">
        <v>217.32</v>
      </c>
    </row>
    <row r="744" spans="10:12" x14ac:dyDescent="0.2">
      <c r="J744">
        <v>743</v>
      </c>
      <c r="K744">
        <v>246.40960000000004</v>
      </c>
      <c r="L744">
        <v>233</v>
      </c>
    </row>
    <row r="745" spans="10:12" x14ac:dyDescent="0.2">
      <c r="J745">
        <v>744</v>
      </c>
      <c r="K745">
        <v>248.99520000000004</v>
      </c>
      <c r="L745">
        <v>249.86</v>
      </c>
    </row>
    <row r="746" spans="10:12" x14ac:dyDescent="0.2">
      <c r="J746">
        <v>745</v>
      </c>
      <c r="K746">
        <v>250.82500000000007</v>
      </c>
      <c r="L746">
        <v>249.86</v>
      </c>
    </row>
    <row r="747" spans="10:12" x14ac:dyDescent="0.2">
      <c r="J747">
        <v>746</v>
      </c>
      <c r="K747">
        <v>233.10419999999999</v>
      </c>
      <c r="L747">
        <v>226.87</v>
      </c>
    </row>
    <row r="748" spans="10:12" x14ac:dyDescent="0.2">
      <c r="J748">
        <v>747</v>
      </c>
      <c r="K748">
        <v>256.01439999999997</v>
      </c>
      <c r="L748">
        <v>249.41</v>
      </c>
    </row>
    <row r="749" spans="10:12" x14ac:dyDescent="0.2">
      <c r="J749">
        <v>748</v>
      </c>
      <c r="K749">
        <v>242.04260000000002</v>
      </c>
      <c r="L749">
        <v>226.87</v>
      </c>
    </row>
    <row r="750" spans="10:12" x14ac:dyDescent="0.2">
      <c r="J750">
        <v>749</v>
      </c>
      <c r="K750">
        <v>234.18899999999994</v>
      </c>
      <c r="L750">
        <v>219.85</v>
      </c>
    </row>
    <row r="751" spans="10:12" x14ac:dyDescent="0.2">
      <c r="J751">
        <v>750</v>
      </c>
      <c r="K751">
        <v>238.71379999999996</v>
      </c>
      <c r="L751">
        <v>243.72</v>
      </c>
    </row>
    <row r="752" spans="10:12" x14ac:dyDescent="0.2">
      <c r="J752">
        <v>751</v>
      </c>
      <c r="K752">
        <v>227.72500000000002</v>
      </c>
      <c r="L752">
        <v>225.01999999999998</v>
      </c>
    </row>
    <row r="753" spans="10:12" x14ac:dyDescent="0.2">
      <c r="J753">
        <v>752</v>
      </c>
      <c r="K753">
        <v>240.773</v>
      </c>
      <c r="L753">
        <v>229.28</v>
      </c>
    </row>
    <row r="754" spans="10:12" x14ac:dyDescent="0.2">
      <c r="J754">
        <v>753</v>
      </c>
      <c r="K754">
        <v>252.65879999999993</v>
      </c>
      <c r="L754">
        <v>249.41</v>
      </c>
    </row>
    <row r="755" spans="10:12" x14ac:dyDescent="0.2">
      <c r="J755">
        <v>754</v>
      </c>
      <c r="K755">
        <v>223.91180000000008</v>
      </c>
      <c r="L755">
        <v>219.56</v>
      </c>
    </row>
    <row r="756" spans="10:12" x14ac:dyDescent="0.2">
      <c r="J756">
        <v>755</v>
      </c>
      <c r="K756">
        <v>253.15919999999994</v>
      </c>
      <c r="L756">
        <v>243.93</v>
      </c>
    </row>
    <row r="757" spans="10:12" x14ac:dyDescent="0.2">
      <c r="J757">
        <v>756</v>
      </c>
      <c r="K757">
        <v>239.05920000000003</v>
      </c>
      <c r="L757">
        <v>236.72</v>
      </c>
    </row>
    <row r="758" spans="10:12" x14ac:dyDescent="0.2">
      <c r="J758">
        <v>757</v>
      </c>
      <c r="K758">
        <v>236.95840000000001</v>
      </c>
      <c r="L758">
        <v>226.64</v>
      </c>
    </row>
    <row r="759" spans="10:12" x14ac:dyDescent="0.2">
      <c r="J759">
        <v>758</v>
      </c>
      <c r="K759">
        <v>235.89160000000004</v>
      </c>
      <c r="L759">
        <v>231.79500000000002</v>
      </c>
    </row>
    <row r="760" spans="10:12" x14ac:dyDescent="0.2">
      <c r="J760">
        <v>759</v>
      </c>
      <c r="K760">
        <v>244.70940000000002</v>
      </c>
      <c r="L760">
        <v>248.965</v>
      </c>
    </row>
    <row r="761" spans="10:12" x14ac:dyDescent="0.2">
      <c r="J761">
        <v>760</v>
      </c>
      <c r="K761">
        <v>251.85020000000003</v>
      </c>
      <c r="L761">
        <v>249.86</v>
      </c>
    </row>
    <row r="762" spans="10:12" x14ac:dyDescent="0.2">
      <c r="J762">
        <v>761</v>
      </c>
      <c r="K762">
        <v>226.8364</v>
      </c>
      <c r="L762">
        <v>223.7</v>
      </c>
    </row>
    <row r="763" spans="10:12" x14ac:dyDescent="0.2">
      <c r="J763">
        <v>762</v>
      </c>
      <c r="K763">
        <v>241.21040000000008</v>
      </c>
      <c r="L763">
        <v>233</v>
      </c>
    </row>
    <row r="764" spans="10:12" x14ac:dyDescent="0.2">
      <c r="J764">
        <v>763</v>
      </c>
      <c r="K764">
        <v>243.12799999999999</v>
      </c>
      <c r="L764">
        <v>242.82499999999999</v>
      </c>
    </row>
    <row r="765" spans="10:12" x14ac:dyDescent="0.2">
      <c r="J765">
        <v>764</v>
      </c>
      <c r="K765">
        <v>257.00419999999997</v>
      </c>
      <c r="L765">
        <v>253.44</v>
      </c>
    </row>
    <row r="766" spans="10:12" x14ac:dyDescent="0.2">
      <c r="J766">
        <v>765</v>
      </c>
      <c r="K766">
        <v>235.43600000000004</v>
      </c>
      <c r="L766">
        <v>218.36</v>
      </c>
    </row>
    <row r="767" spans="10:12" x14ac:dyDescent="0.2">
      <c r="J767">
        <v>766</v>
      </c>
      <c r="K767">
        <v>238.49359999999996</v>
      </c>
      <c r="L767">
        <v>238.9</v>
      </c>
    </row>
    <row r="768" spans="10:12" x14ac:dyDescent="0.2">
      <c r="J768">
        <v>767</v>
      </c>
      <c r="K768">
        <v>238.98680000000002</v>
      </c>
      <c r="L768">
        <v>249.41</v>
      </c>
    </row>
    <row r="769" spans="10:12" x14ac:dyDescent="0.2">
      <c r="J769">
        <v>768</v>
      </c>
      <c r="K769">
        <v>249.15120000000002</v>
      </c>
      <c r="L769">
        <v>250.51999999999998</v>
      </c>
    </row>
    <row r="770" spans="10:12" x14ac:dyDescent="0.2">
      <c r="J770">
        <v>769</v>
      </c>
      <c r="K770">
        <v>250.26360000000008</v>
      </c>
      <c r="L770">
        <v>242.62</v>
      </c>
    </row>
    <row r="771" spans="10:12" x14ac:dyDescent="0.2">
      <c r="J771">
        <v>770</v>
      </c>
      <c r="K771">
        <v>228.56139999999999</v>
      </c>
      <c r="L771">
        <v>220.76</v>
      </c>
    </row>
    <row r="772" spans="10:12" x14ac:dyDescent="0.2">
      <c r="J772">
        <v>771</v>
      </c>
      <c r="K772">
        <v>228.67400000000006</v>
      </c>
      <c r="L772">
        <v>229.28</v>
      </c>
    </row>
    <row r="773" spans="10:12" x14ac:dyDescent="0.2">
      <c r="J773">
        <v>772</v>
      </c>
      <c r="K773">
        <v>239.95640000000006</v>
      </c>
      <c r="L773">
        <v>228.07499999999999</v>
      </c>
    </row>
    <row r="774" spans="10:12" x14ac:dyDescent="0.2">
      <c r="J774">
        <v>773</v>
      </c>
      <c r="K774">
        <v>249.16420000000014</v>
      </c>
      <c r="L774">
        <v>256.14999999999998</v>
      </c>
    </row>
    <row r="775" spans="10:12" x14ac:dyDescent="0.2">
      <c r="J775">
        <v>774</v>
      </c>
      <c r="K775">
        <v>251.24880000000002</v>
      </c>
      <c r="L775">
        <v>252.77999999999997</v>
      </c>
    </row>
    <row r="776" spans="10:12" x14ac:dyDescent="0.2">
      <c r="J776">
        <v>775</v>
      </c>
      <c r="K776">
        <v>247.72039999999993</v>
      </c>
      <c r="L776">
        <v>250.07</v>
      </c>
    </row>
    <row r="777" spans="10:12" x14ac:dyDescent="0.2">
      <c r="J777">
        <v>776</v>
      </c>
      <c r="K777">
        <v>256.36079999999998</v>
      </c>
      <c r="L777">
        <v>249.86</v>
      </c>
    </row>
    <row r="778" spans="10:12" x14ac:dyDescent="0.2">
      <c r="J778">
        <v>777</v>
      </c>
      <c r="K778">
        <v>228.01020000000005</v>
      </c>
      <c r="L778">
        <v>226.755</v>
      </c>
    </row>
    <row r="779" spans="10:12" x14ac:dyDescent="0.2">
      <c r="J779">
        <v>778</v>
      </c>
      <c r="K779">
        <v>266.07759999999996</v>
      </c>
      <c r="L779">
        <v>257.16999999999996</v>
      </c>
    </row>
    <row r="780" spans="10:12" x14ac:dyDescent="0.2">
      <c r="J780">
        <v>779</v>
      </c>
      <c r="K780">
        <v>251.94280000000003</v>
      </c>
      <c r="L780">
        <v>249.41</v>
      </c>
    </row>
    <row r="781" spans="10:12" x14ac:dyDescent="0.2">
      <c r="J781">
        <v>780</v>
      </c>
      <c r="K781">
        <v>254.38720000000004</v>
      </c>
      <c r="L781">
        <v>253.44</v>
      </c>
    </row>
    <row r="782" spans="10:12" x14ac:dyDescent="0.2">
      <c r="J782">
        <v>781</v>
      </c>
      <c r="K782">
        <v>245.01159999999996</v>
      </c>
      <c r="L782">
        <v>228.07499999999999</v>
      </c>
    </row>
    <row r="783" spans="10:12" x14ac:dyDescent="0.2">
      <c r="J783">
        <v>782</v>
      </c>
      <c r="K783">
        <v>234.51519999999994</v>
      </c>
      <c r="L783">
        <v>226.87</v>
      </c>
    </row>
    <row r="784" spans="10:12" x14ac:dyDescent="0.2">
      <c r="J784">
        <v>783</v>
      </c>
      <c r="K784">
        <v>265.14559999999994</v>
      </c>
      <c r="L784">
        <v>256.14999999999998</v>
      </c>
    </row>
    <row r="785" spans="10:12" x14ac:dyDescent="0.2">
      <c r="J785">
        <v>784</v>
      </c>
      <c r="K785">
        <v>235.40260000000006</v>
      </c>
      <c r="L785">
        <v>227.95999999999998</v>
      </c>
    </row>
    <row r="786" spans="10:12" x14ac:dyDescent="0.2">
      <c r="J786">
        <v>785</v>
      </c>
      <c r="K786">
        <v>218.32080000000008</v>
      </c>
      <c r="L786">
        <v>226.64</v>
      </c>
    </row>
    <row r="787" spans="10:12" x14ac:dyDescent="0.2">
      <c r="J787">
        <v>786</v>
      </c>
      <c r="K787">
        <v>251.14399999999995</v>
      </c>
      <c r="L787">
        <v>250.51999999999998</v>
      </c>
    </row>
    <row r="788" spans="10:12" x14ac:dyDescent="0.2">
      <c r="J788">
        <v>787</v>
      </c>
      <c r="K788">
        <v>217.70100000000011</v>
      </c>
      <c r="L788">
        <v>217.32</v>
      </c>
    </row>
    <row r="789" spans="10:12" x14ac:dyDescent="0.2">
      <c r="J789">
        <v>788</v>
      </c>
      <c r="K789">
        <v>253.48300000000003</v>
      </c>
      <c r="L789">
        <v>253.44</v>
      </c>
    </row>
    <row r="790" spans="10:12" x14ac:dyDescent="0.2">
      <c r="J790">
        <v>789</v>
      </c>
      <c r="K790">
        <v>246.62820000000002</v>
      </c>
      <c r="L790">
        <v>237.13</v>
      </c>
    </row>
    <row r="791" spans="10:12" x14ac:dyDescent="0.2">
      <c r="J791">
        <v>790</v>
      </c>
      <c r="K791">
        <v>240.79420000000005</v>
      </c>
      <c r="L791">
        <v>243.065</v>
      </c>
    </row>
    <row r="792" spans="10:12" x14ac:dyDescent="0.2">
      <c r="J792">
        <v>791</v>
      </c>
      <c r="K792">
        <v>228.04500000000004</v>
      </c>
      <c r="L792">
        <v>236.92500000000001</v>
      </c>
    </row>
    <row r="793" spans="10:12" x14ac:dyDescent="0.2">
      <c r="J793">
        <v>792</v>
      </c>
      <c r="K793">
        <v>231.65079999999998</v>
      </c>
      <c r="L793">
        <v>228.07499999999999</v>
      </c>
    </row>
    <row r="794" spans="10:12" x14ac:dyDescent="0.2">
      <c r="J794">
        <v>793</v>
      </c>
      <c r="K794">
        <v>262.1472</v>
      </c>
      <c r="L794">
        <v>253.23</v>
      </c>
    </row>
    <row r="795" spans="10:12" x14ac:dyDescent="0.2">
      <c r="J795">
        <v>794</v>
      </c>
      <c r="K795">
        <v>233.45840000000007</v>
      </c>
      <c r="L795">
        <v>242.82499999999999</v>
      </c>
    </row>
    <row r="796" spans="10:12" x14ac:dyDescent="0.2">
      <c r="J796">
        <v>795</v>
      </c>
      <c r="K796">
        <v>252.64439999999996</v>
      </c>
      <c r="L796">
        <v>248.965</v>
      </c>
    </row>
    <row r="797" spans="10:12" x14ac:dyDescent="0.2">
      <c r="J797">
        <v>796</v>
      </c>
      <c r="K797">
        <v>248.96600000000001</v>
      </c>
      <c r="L797">
        <v>253.44</v>
      </c>
    </row>
    <row r="798" spans="10:12" x14ac:dyDescent="0.2">
      <c r="J798">
        <v>797</v>
      </c>
      <c r="K798">
        <v>225.21780000000007</v>
      </c>
      <c r="L798">
        <v>218.36</v>
      </c>
    </row>
    <row r="799" spans="10:12" x14ac:dyDescent="0.2">
      <c r="J799">
        <v>798</v>
      </c>
      <c r="K799">
        <v>258.49980000000005</v>
      </c>
      <c r="L799">
        <v>253.44</v>
      </c>
    </row>
    <row r="800" spans="10:12" x14ac:dyDescent="0.2">
      <c r="J800">
        <v>799</v>
      </c>
      <c r="K800">
        <v>234.30620000000008</v>
      </c>
      <c r="L800">
        <v>249.41</v>
      </c>
    </row>
    <row r="801" spans="10:12" x14ac:dyDescent="0.2">
      <c r="J801">
        <v>800</v>
      </c>
      <c r="K801">
        <v>240.05659999999992</v>
      </c>
      <c r="L801">
        <v>237.13</v>
      </c>
    </row>
    <row r="802" spans="10:12" x14ac:dyDescent="0.2">
      <c r="J802">
        <v>801</v>
      </c>
      <c r="K802">
        <v>236.26519999999999</v>
      </c>
      <c r="L802">
        <v>233</v>
      </c>
    </row>
    <row r="803" spans="10:12" x14ac:dyDescent="0.2">
      <c r="J803">
        <v>802</v>
      </c>
      <c r="K803">
        <v>235.6422</v>
      </c>
      <c r="L803">
        <v>215.83499999999998</v>
      </c>
    </row>
    <row r="804" spans="10:12" x14ac:dyDescent="0.2">
      <c r="J804">
        <v>803</v>
      </c>
      <c r="K804">
        <v>250.85659999999993</v>
      </c>
      <c r="L804">
        <v>256.14999999999998</v>
      </c>
    </row>
    <row r="805" spans="10:12" x14ac:dyDescent="0.2">
      <c r="J805">
        <v>804</v>
      </c>
      <c r="K805">
        <v>240.50239999999997</v>
      </c>
      <c r="L805">
        <v>231.88499999999999</v>
      </c>
    </row>
    <row r="806" spans="10:12" x14ac:dyDescent="0.2">
      <c r="J806">
        <v>805</v>
      </c>
      <c r="K806">
        <v>258.93820000000005</v>
      </c>
      <c r="L806">
        <v>250.51999999999998</v>
      </c>
    </row>
    <row r="807" spans="10:12" x14ac:dyDescent="0.2">
      <c r="J807">
        <v>806</v>
      </c>
      <c r="K807">
        <v>265.62100000000004</v>
      </c>
      <c r="L807">
        <v>261.67499999999995</v>
      </c>
    </row>
    <row r="808" spans="10:12" x14ac:dyDescent="0.2">
      <c r="J808">
        <v>807</v>
      </c>
      <c r="K808">
        <v>233.54420000000002</v>
      </c>
      <c r="L808">
        <v>226.87</v>
      </c>
    </row>
    <row r="809" spans="10:12" x14ac:dyDescent="0.2">
      <c r="J809">
        <v>808</v>
      </c>
      <c r="K809">
        <v>229.02680000000007</v>
      </c>
      <c r="L809">
        <v>216.28</v>
      </c>
    </row>
    <row r="810" spans="10:12" x14ac:dyDescent="0.2">
      <c r="J810">
        <v>809</v>
      </c>
      <c r="K810">
        <v>258.38980000000009</v>
      </c>
      <c r="L810">
        <v>250.73</v>
      </c>
    </row>
    <row r="811" spans="10:12" x14ac:dyDescent="0.2">
      <c r="J811">
        <v>810</v>
      </c>
      <c r="K811">
        <v>240.30600000000007</v>
      </c>
      <c r="L811">
        <v>229.28</v>
      </c>
    </row>
    <row r="812" spans="10:12" x14ac:dyDescent="0.2">
      <c r="J812">
        <v>811</v>
      </c>
      <c r="K812">
        <v>248.24560000000008</v>
      </c>
      <c r="L812">
        <v>248.965</v>
      </c>
    </row>
    <row r="813" spans="10:12" x14ac:dyDescent="0.2">
      <c r="J813">
        <v>812</v>
      </c>
      <c r="K813">
        <v>255.50219999999999</v>
      </c>
      <c r="L813">
        <v>249.41</v>
      </c>
    </row>
    <row r="814" spans="10:12" x14ac:dyDescent="0.2">
      <c r="J814">
        <v>813</v>
      </c>
      <c r="K814">
        <v>230.99540000000007</v>
      </c>
      <c r="L814">
        <v>226.87</v>
      </c>
    </row>
    <row r="815" spans="10:12" x14ac:dyDescent="0.2">
      <c r="J815">
        <v>814</v>
      </c>
      <c r="K815">
        <v>240.41980000000001</v>
      </c>
      <c r="L815">
        <v>226.64</v>
      </c>
    </row>
    <row r="816" spans="10:12" x14ac:dyDescent="0.2">
      <c r="J816">
        <v>815</v>
      </c>
      <c r="K816">
        <v>245.84400000000002</v>
      </c>
      <c r="L816">
        <v>250.51999999999998</v>
      </c>
    </row>
    <row r="817" spans="10:12" x14ac:dyDescent="0.2">
      <c r="J817">
        <v>816</v>
      </c>
      <c r="K817">
        <v>238.60159999999996</v>
      </c>
      <c r="L817">
        <v>242.82499999999999</v>
      </c>
    </row>
    <row r="818" spans="10:12" x14ac:dyDescent="0.2">
      <c r="J818">
        <v>817</v>
      </c>
      <c r="K818">
        <v>243.59899999999993</v>
      </c>
      <c r="L818">
        <v>233</v>
      </c>
    </row>
    <row r="819" spans="10:12" x14ac:dyDescent="0.2">
      <c r="J819">
        <v>818</v>
      </c>
      <c r="K819">
        <v>238.54379999999998</v>
      </c>
      <c r="L819">
        <v>236.92500000000001</v>
      </c>
    </row>
    <row r="820" spans="10:12" x14ac:dyDescent="0.2">
      <c r="J820">
        <v>819</v>
      </c>
      <c r="K820">
        <v>268.072</v>
      </c>
      <c r="L820">
        <v>257.16999999999996</v>
      </c>
    </row>
    <row r="821" spans="10:12" x14ac:dyDescent="0.2">
      <c r="J821">
        <v>820</v>
      </c>
      <c r="K821">
        <v>238.2276</v>
      </c>
      <c r="L821">
        <v>242.82499999999999</v>
      </c>
    </row>
    <row r="822" spans="10:12" x14ac:dyDescent="0.2">
      <c r="J822">
        <v>821</v>
      </c>
      <c r="K822">
        <v>249.97859999999997</v>
      </c>
      <c r="L822">
        <v>233</v>
      </c>
    </row>
    <row r="823" spans="10:12" x14ac:dyDescent="0.2">
      <c r="J823">
        <v>822</v>
      </c>
      <c r="K823">
        <v>237.4311999999999</v>
      </c>
      <c r="L823">
        <v>220.76</v>
      </c>
    </row>
    <row r="824" spans="10:12" x14ac:dyDescent="0.2">
      <c r="J824">
        <v>823</v>
      </c>
      <c r="K824">
        <v>246.74479999999997</v>
      </c>
      <c r="L824">
        <v>249.41</v>
      </c>
    </row>
    <row r="825" spans="10:12" x14ac:dyDescent="0.2">
      <c r="J825">
        <v>824</v>
      </c>
      <c r="K825">
        <v>243.57939999999991</v>
      </c>
      <c r="L825">
        <v>233</v>
      </c>
    </row>
    <row r="826" spans="10:12" x14ac:dyDescent="0.2">
      <c r="J826">
        <v>825</v>
      </c>
      <c r="K826">
        <v>251.17679999999996</v>
      </c>
      <c r="L826">
        <v>236.72</v>
      </c>
    </row>
    <row r="827" spans="10:12" x14ac:dyDescent="0.2">
      <c r="J827">
        <v>826</v>
      </c>
      <c r="K827">
        <v>236.46459999999996</v>
      </c>
      <c r="L827">
        <v>233</v>
      </c>
    </row>
    <row r="828" spans="10:12" x14ac:dyDescent="0.2">
      <c r="J828">
        <v>827</v>
      </c>
      <c r="K828">
        <v>240.34760000000003</v>
      </c>
      <c r="L828">
        <v>249.41</v>
      </c>
    </row>
    <row r="829" spans="10:12" x14ac:dyDescent="0.2">
      <c r="J829">
        <v>828</v>
      </c>
      <c r="K829">
        <v>245.32240000000002</v>
      </c>
      <c r="L829">
        <v>222.79</v>
      </c>
    </row>
    <row r="830" spans="10:12" x14ac:dyDescent="0.2">
      <c r="J830">
        <v>829</v>
      </c>
      <c r="K830">
        <v>235.595</v>
      </c>
      <c r="L830">
        <v>226.87</v>
      </c>
    </row>
    <row r="831" spans="10:12" x14ac:dyDescent="0.2">
      <c r="J831">
        <v>830</v>
      </c>
      <c r="K831">
        <v>248.57320000000007</v>
      </c>
      <c r="L831">
        <v>249.41500000000002</v>
      </c>
    </row>
    <row r="832" spans="10:12" x14ac:dyDescent="0.2">
      <c r="J832">
        <v>831</v>
      </c>
      <c r="K832">
        <v>267.87940000000003</v>
      </c>
      <c r="L832">
        <v>277.19</v>
      </c>
    </row>
    <row r="833" spans="10:12" x14ac:dyDescent="0.2">
      <c r="J833">
        <v>832</v>
      </c>
      <c r="K833">
        <v>253.46019999999996</v>
      </c>
      <c r="L833">
        <v>258.19</v>
      </c>
    </row>
    <row r="834" spans="10:12" x14ac:dyDescent="0.2">
      <c r="J834">
        <v>833</v>
      </c>
      <c r="K834">
        <v>255.37219999999996</v>
      </c>
      <c r="L834">
        <v>254.45999999999998</v>
      </c>
    </row>
    <row r="835" spans="10:12" x14ac:dyDescent="0.2">
      <c r="J835">
        <v>834</v>
      </c>
      <c r="K835">
        <v>241.75400000000005</v>
      </c>
      <c r="L835">
        <v>233</v>
      </c>
    </row>
    <row r="836" spans="10:12" x14ac:dyDescent="0.2">
      <c r="J836">
        <v>835</v>
      </c>
      <c r="K836">
        <v>238.86120000000011</v>
      </c>
      <c r="L836">
        <v>242.62</v>
      </c>
    </row>
    <row r="837" spans="10:12" x14ac:dyDescent="0.2">
      <c r="J837">
        <v>836</v>
      </c>
      <c r="K837">
        <v>237.29480000000001</v>
      </c>
      <c r="L837">
        <v>242.62</v>
      </c>
    </row>
    <row r="838" spans="10:12" x14ac:dyDescent="0.2">
      <c r="J838">
        <v>837</v>
      </c>
      <c r="K838">
        <v>248.57399999999996</v>
      </c>
      <c r="L838">
        <v>248.965</v>
      </c>
    </row>
    <row r="839" spans="10:12" x14ac:dyDescent="0.2">
      <c r="J839">
        <v>838</v>
      </c>
      <c r="K839">
        <v>246.92680000000007</v>
      </c>
      <c r="L839">
        <v>236.92500000000001</v>
      </c>
    </row>
    <row r="840" spans="10:12" x14ac:dyDescent="0.2">
      <c r="J840">
        <v>839</v>
      </c>
      <c r="K840">
        <v>247.33419999999995</v>
      </c>
      <c r="L840">
        <v>233</v>
      </c>
    </row>
    <row r="841" spans="10:12" x14ac:dyDescent="0.2">
      <c r="J841">
        <v>840</v>
      </c>
      <c r="K841">
        <v>246.41640000000004</v>
      </c>
      <c r="L841">
        <v>238.9</v>
      </c>
    </row>
    <row r="842" spans="10:12" x14ac:dyDescent="0.2">
      <c r="J842">
        <v>841</v>
      </c>
      <c r="K842">
        <v>233.21000000000004</v>
      </c>
      <c r="L842">
        <v>232</v>
      </c>
    </row>
    <row r="843" spans="10:12" x14ac:dyDescent="0.2">
      <c r="J843">
        <v>842</v>
      </c>
      <c r="K843">
        <v>247.173</v>
      </c>
      <c r="L843">
        <v>243.72</v>
      </c>
    </row>
    <row r="844" spans="10:12" x14ac:dyDescent="0.2">
      <c r="J844">
        <v>843</v>
      </c>
      <c r="K844">
        <v>249.08360000000002</v>
      </c>
      <c r="L844">
        <v>242.62</v>
      </c>
    </row>
    <row r="845" spans="10:12" x14ac:dyDescent="0.2">
      <c r="J845">
        <v>844</v>
      </c>
      <c r="K845">
        <v>225.55560000000008</v>
      </c>
      <c r="L845">
        <v>226.87</v>
      </c>
    </row>
    <row r="846" spans="10:12" x14ac:dyDescent="0.2">
      <c r="J846">
        <v>845</v>
      </c>
      <c r="K846">
        <v>223.68799999999999</v>
      </c>
      <c r="L846">
        <v>232</v>
      </c>
    </row>
    <row r="847" spans="10:12" x14ac:dyDescent="0.2">
      <c r="J847">
        <v>846</v>
      </c>
      <c r="K847">
        <v>239.47200000000001</v>
      </c>
      <c r="L847">
        <v>229.28</v>
      </c>
    </row>
    <row r="848" spans="10:12" x14ac:dyDescent="0.2">
      <c r="J848">
        <v>847</v>
      </c>
      <c r="K848">
        <v>248.19740000000002</v>
      </c>
      <c r="L848">
        <v>248.52</v>
      </c>
    </row>
    <row r="849" spans="10:12" x14ac:dyDescent="0.2">
      <c r="J849">
        <v>848</v>
      </c>
      <c r="K849">
        <v>265.69880000000006</v>
      </c>
      <c r="L849">
        <v>277.64</v>
      </c>
    </row>
    <row r="850" spans="10:12" x14ac:dyDescent="0.2">
      <c r="J850">
        <v>849</v>
      </c>
      <c r="K850">
        <v>229.33960000000002</v>
      </c>
      <c r="L850">
        <v>228.07499999999999</v>
      </c>
    </row>
    <row r="851" spans="10:12" x14ac:dyDescent="0.2">
      <c r="J851">
        <v>850</v>
      </c>
      <c r="K851">
        <v>223.70839999999993</v>
      </c>
      <c r="L851">
        <v>226.87</v>
      </c>
    </row>
    <row r="852" spans="10:12" x14ac:dyDescent="0.2">
      <c r="J852">
        <v>851</v>
      </c>
      <c r="K852">
        <v>245.62559999999991</v>
      </c>
      <c r="L852">
        <v>226.87</v>
      </c>
    </row>
    <row r="853" spans="10:12" x14ac:dyDescent="0.2">
      <c r="J853">
        <v>852</v>
      </c>
      <c r="K853">
        <v>235.62000000000006</v>
      </c>
      <c r="L853">
        <v>232</v>
      </c>
    </row>
    <row r="854" spans="10:12" x14ac:dyDescent="0.2">
      <c r="J854">
        <v>853</v>
      </c>
      <c r="K854">
        <v>238.54820000000001</v>
      </c>
      <c r="L854">
        <v>236.72</v>
      </c>
    </row>
    <row r="855" spans="10:12" x14ac:dyDescent="0.2">
      <c r="J855">
        <v>854</v>
      </c>
      <c r="K855">
        <v>242.65240000000006</v>
      </c>
      <c r="L855">
        <v>233</v>
      </c>
    </row>
    <row r="856" spans="10:12" x14ac:dyDescent="0.2">
      <c r="J856">
        <v>855</v>
      </c>
      <c r="K856">
        <v>248.08979999999997</v>
      </c>
      <c r="L856">
        <v>242.82499999999999</v>
      </c>
    </row>
    <row r="857" spans="10:12" x14ac:dyDescent="0.2">
      <c r="J857">
        <v>856</v>
      </c>
      <c r="K857">
        <v>246.6348000000001</v>
      </c>
      <c r="L857">
        <v>253.44</v>
      </c>
    </row>
    <row r="858" spans="10:12" x14ac:dyDescent="0.2">
      <c r="J858">
        <v>857</v>
      </c>
      <c r="K858">
        <v>251.57340000000008</v>
      </c>
      <c r="L858">
        <v>250.73</v>
      </c>
    </row>
    <row r="859" spans="10:12" x14ac:dyDescent="0.2">
      <c r="J859">
        <v>858</v>
      </c>
      <c r="K859">
        <v>248.83519999999996</v>
      </c>
      <c r="L859">
        <v>248.965</v>
      </c>
    </row>
    <row r="860" spans="10:12" x14ac:dyDescent="0.2">
      <c r="J860">
        <v>859</v>
      </c>
      <c r="K860">
        <v>252.83840000000001</v>
      </c>
      <c r="L860">
        <v>248.965</v>
      </c>
    </row>
    <row r="861" spans="10:12" x14ac:dyDescent="0.2">
      <c r="J861">
        <v>860</v>
      </c>
      <c r="K861">
        <v>221.38119999999998</v>
      </c>
      <c r="L861">
        <v>218.65</v>
      </c>
    </row>
    <row r="862" spans="10:12" x14ac:dyDescent="0.2">
      <c r="J862">
        <v>861</v>
      </c>
      <c r="K862">
        <v>231.66000000000003</v>
      </c>
      <c r="L862">
        <v>229.28</v>
      </c>
    </row>
    <row r="863" spans="10:12" x14ac:dyDescent="0.2">
      <c r="J863">
        <v>862</v>
      </c>
      <c r="K863">
        <v>258.34579999999994</v>
      </c>
      <c r="L863">
        <v>250.31</v>
      </c>
    </row>
    <row r="864" spans="10:12" x14ac:dyDescent="0.2">
      <c r="J864">
        <v>863</v>
      </c>
      <c r="K864">
        <v>231.35480000000007</v>
      </c>
      <c r="L864">
        <v>233</v>
      </c>
    </row>
    <row r="865" spans="10:12" x14ac:dyDescent="0.2">
      <c r="J865">
        <v>864</v>
      </c>
      <c r="K865">
        <v>244.91340000000002</v>
      </c>
      <c r="L865">
        <v>249.41500000000002</v>
      </c>
    </row>
    <row r="866" spans="10:12" x14ac:dyDescent="0.2">
      <c r="J866">
        <v>865</v>
      </c>
      <c r="K866">
        <v>232.47940000000003</v>
      </c>
      <c r="L866">
        <v>248.52</v>
      </c>
    </row>
    <row r="867" spans="10:12" x14ac:dyDescent="0.2">
      <c r="J867">
        <v>866</v>
      </c>
      <c r="K867">
        <v>233.00119999999998</v>
      </c>
      <c r="L867">
        <v>218.36</v>
      </c>
    </row>
    <row r="868" spans="10:12" x14ac:dyDescent="0.2">
      <c r="J868">
        <v>867</v>
      </c>
      <c r="K868">
        <v>249.18580000000003</v>
      </c>
      <c r="L868">
        <v>254.45999999999998</v>
      </c>
    </row>
    <row r="869" spans="10:12" x14ac:dyDescent="0.2">
      <c r="J869">
        <v>868</v>
      </c>
      <c r="K869">
        <v>231.72219999999999</v>
      </c>
      <c r="L869">
        <v>226.64</v>
      </c>
    </row>
    <row r="870" spans="10:12" x14ac:dyDescent="0.2">
      <c r="J870">
        <v>869</v>
      </c>
      <c r="K870">
        <v>209.42019999999999</v>
      </c>
      <c r="L870">
        <v>216.875</v>
      </c>
    </row>
    <row r="871" spans="10:12" x14ac:dyDescent="0.2">
      <c r="J871">
        <v>870</v>
      </c>
      <c r="K871">
        <v>255.21600000000001</v>
      </c>
      <c r="L871">
        <v>248.52</v>
      </c>
    </row>
    <row r="872" spans="10:12" x14ac:dyDescent="0.2">
      <c r="J872">
        <v>871</v>
      </c>
      <c r="K872">
        <v>239.37979999999999</v>
      </c>
      <c r="L872">
        <v>229.28</v>
      </c>
    </row>
    <row r="873" spans="10:12" x14ac:dyDescent="0.2">
      <c r="J873">
        <v>872</v>
      </c>
      <c r="K873">
        <v>238.29620000000003</v>
      </c>
      <c r="L873">
        <v>226.755</v>
      </c>
    </row>
    <row r="874" spans="10:12" x14ac:dyDescent="0.2">
      <c r="J874">
        <v>873</v>
      </c>
      <c r="K874">
        <v>237.4312000000001</v>
      </c>
      <c r="L874">
        <v>248.52</v>
      </c>
    </row>
    <row r="875" spans="10:12" x14ac:dyDescent="0.2">
      <c r="J875">
        <v>874</v>
      </c>
      <c r="K875">
        <v>225.90579999999997</v>
      </c>
      <c r="L875">
        <v>231.79500000000002</v>
      </c>
    </row>
    <row r="876" spans="10:12" x14ac:dyDescent="0.2">
      <c r="J876">
        <v>875</v>
      </c>
      <c r="K876">
        <v>263.38299999999998</v>
      </c>
      <c r="L876">
        <v>254.45999999999998</v>
      </c>
    </row>
    <row r="877" spans="10:12" x14ac:dyDescent="0.2">
      <c r="J877">
        <v>876</v>
      </c>
      <c r="K877">
        <v>249.58420000000007</v>
      </c>
      <c r="L877">
        <v>248.52</v>
      </c>
    </row>
    <row r="878" spans="10:12" x14ac:dyDescent="0.2">
      <c r="J878">
        <v>877</v>
      </c>
      <c r="K878">
        <v>238.7004</v>
      </c>
      <c r="L878">
        <v>226.755</v>
      </c>
    </row>
    <row r="879" spans="10:12" x14ac:dyDescent="0.2">
      <c r="J879">
        <v>878</v>
      </c>
      <c r="K879">
        <v>251.6722</v>
      </c>
      <c r="L879">
        <v>250.51999999999998</v>
      </c>
    </row>
    <row r="880" spans="10:12" x14ac:dyDescent="0.2">
      <c r="J880">
        <v>879</v>
      </c>
      <c r="K880">
        <v>259.74559999999997</v>
      </c>
      <c r="L880">
        <v>250.51999999999998</v>
      </c>
    </row>
    <row r="881" spans="10:12" x14ac:dyDescent="0.2">
      <c r="J881">
        <v>880</v>
      </c>
      <c r="K881">
        <v>239.11440000000002</v>
      </c>
      <c r="L881">
        <v>222.905</v>
      </c>
    </row>
    <row r="882" spans="10:12" x14ac:dyDescent="0.2">
      <c r="J882">
        <v>881</v>
      </c>
      <c r="K882">
        <v>246.61460000000005</v>
      </c>
      <c r="L882">
        <v>250.31</v>
      </c>
    </row>
    <row r="883" spans="10:12" x14ac:dyDescent="0.2">
      <c r="J883">
        <v>882</v>
      </c>
      <c r="K883">
        <v>237.28400000000002</v>
      </c>
      <c r="L883">
        <v>226.87</v>
      </c>
    </row>
    <row r="884" spans="10:12" x14ac:dyDescent="0.2">
      <c r="J884">
        <v>883</v>
      </c>
      <c r="K884">
        <v>240.60060000000001</v>
      </c>
      <c r="L884">
        <v>223.815</v>
      </c>
    </row>
    <row r="885" spans="10:12" x14ac:dyDescent="0.2">
      <c r="J885">
        <v>884</v>
      </c>
      <c r="K885">
        <v>259.25359999999995</v>
      </c>
      <c r="L885">
        <v>250.31</v>
      </c>
    </row>
    <row r="886" spans="10:12" x14ac:dyDescent="0.2">
      <c r="J886">
        <v>885</v>
      </c>
      <c r="K886">
        <v>232.97640000000007</v>
      </c>
      <c r="L886">
        <v>220.76</v>
      </c>
    </row>
    <row r="887" spans="10:12" x14ac:dyDescent="0.2">
      <c r="J887">
        <v>886</v>
      </c>
      <c r="K887">
        <v>251.77280000000007</v>
      </c>
      <c r="L887">
        <v>249.41500000000002</v>
      </c>
    </row>
    <row r="888" spans="10:12" x14ac:dyDescent="0.2">
      <c r="J888">
        <v>887</v>
      </c>
      <c r="K888">
        <v>244.47659999999999</v>
      </c>
      <c r="L888">
        <v>248.965</v>
      </c>
    </row>
    <row r="889" spans="10:12" x14ac:dyDescent="0.2">
      <c r="J889">
        <v>888</v>
      </c>
      <c r="K889">
        <v>245.45080000000002</v>
      </c>
      <c r="L889">
        <v>225.01999999999998</v>
      </c>
    </row>
    <row r="890" spans="10:12" x14ac:dyDescent="0.2">
      <c r="J890">
        <v>889</v>
      </c>
      <c r="K890">
        <v>262.06520000000006</v>
      </c>
      <c r="L890">
        <v>250.73</v>
      </c>
    </row>
    <row r="891" spans="10:12" x14ac:dyDescent="0.2">
      <c r="J891">
        <v>890</v>
      </c>
      <c r="K891">
        <v>253.12240000000003</v>
      </c>
      <c r="L891">
        <v>248.965</v>
      </c>
    </row>
    <row r="892" spans="10:12" x14ac:dyDescent="0.2">
      <c r="J892">
        <v>891</v>
      </c>
      <c r="K892">
        <v>251.86860000000001</v>
      </c>
      <c r="L892">
        <v>248.52</v>
      </c>
    </row>
    <row r="893" spans="10:12" x14ac:dyDescent="0.2">
      <c r="J893">
        <v>892</v>
      </c>
      <c r="K893">
        <v>224.9014</v>
      </c>
      <c r="L893">
        <v>226.64</v>
      </c>
    </row>
    <row r="894" spans="10:12" x14ac:dyDescent="0.2">
      <c r="J894">
        <v>893</v>
      </c>
      <c r="K894">
        <v>230.12700000000001</v>
      </c>
      <c r="L894">
        <v>236.72</v>
      </c>
    </row>
    <row r="895" spans="10:12" x14ac:dyDescent="0.2">
      <c r="J895">
        <v>894</v>
      </c>
      <c r="K895">
        <v>210.06940000000003</v>
      </c>
      <c r="L895">
        <v>219.56</v>
      </c>
    </row>
    <row r="896" spans="10:12" x14ac:dyDescent="0.2">
      <c r="J896">
        <v>895</v>
      </c>
      <c r="K896">
        <v>247.70039999999997</v>
      </c>
      <c r="L896">
        <v>243.26999999999998</v>
      </c>
    </row>
    <row r="897" spans="10:12" x14ac:dyDescent="0.2">
      <c r="J897">
        <v>896</v>
      </c>
      <c r="K897">
        <v>236.90720000000013</v>
      </c>
      <c r="L897">
        <v>237.13</v>
      </c>
    </row>
    <row r="898" spans="10:12" x14ac:dyDescent="0.2">
      <c r="J898">
        <v>897</v>
      </c>
      <c r="K898">
        <v>241.49759999999998</v>
      </c>
      <c r="L898">
        <v>236.72</v>
      </c>
    </row>
    <row r="899" spans="10:12" x14ac:dyDescent="0.2">
      <c r="J899">
        <v>898</v>
      </c>
      <c r="K899">
        <v>235.90720000000005</v>
      </c>
      <c r="L899">
        <v>223.815</v>
      </c>
    </row>
    <row r="900" spans="10:12" x14ac:dyDescent="0.2">
      <c r="J900">
        <v>899</v>
      </c>
      <c r="K900">
        <v>238.40079999999995</v>
      </c>
      <c r="L900">
        <v>233.20499999999998</v>
      </c>
    </row>
    <row r="901" spans="10:12" x14ac:dyDescent="0.2">
      <c r="J901">
        <v>900</v>
      </c>
      <c r="K901">
        <v>249.2482</v>
      </c>
      <c r="L901">
        <v>243.26999999999998</v>
      </c>
    </row>
    <row r="902" spans="10:12" x14ac:dyDescent="0.2">
      <c r="J902">
        <v>901</v>
      </c>
      <c r="K902">
        <v>232.67680000000001</v>
      </c>
      <c r="L902">
        <v>223.7</v>
      </c>
    </row>
    <row r="903" spans="10:12" x14ac:dyDescent="0.2">
      <c r="J903">
        <v>902</v>
      </c>
      <c r="K903">
        <v>251.96060000000006</v>
      </c>
      <c r="L903">
        <v>256.14999999999998</v>
      </c>
    </row>
    <row r="904" spans="10:12" x14ac:dyDescent="0.2">
      <c r="J904">
        <v>903</v>
      </c>
      <c r="K904">
        <v>230.3437999999999</v>
      </c>
      <c r="L904">
        <v>226.755</v>
      </c>
    </row>
    <row r="905" spans="10:12" x14ac:dyDescent="0.2">
      <c r="J905">
        <v>904</v>
      </c>
      <c r="K905">
        <v>224.37140000000002</v>
      </c>
      <c r="L905">
        <v>222.79</v>
      </c>
    </row>
    <row r="906" spans="10:12" x14ac:dyDescent="0.2">
      <c r="J906">
        <v>905</v>
      </c>
      <c r="K906">
        <v>247.3784</v>
      </c>
      <c r="L906">
        <v>236.92500000000001</v>
      </c>
    </row>
    <row r="907" spans="10:12" x14ac:dyDescent="0.2">
      <c r="J907">
        <v>906</v>
      </c>
      <c r="K907">
        <v>234.39920000000001</v>
      </c>
      <c r="L907">
        <v>248.965</v>
      </c>
    </row>
    <row r="908" spans="10:12" x14ac:dyDescent="0.2">
      <c r="J908">
        <v>907</v>
      </c>
      <c r="K908">
        <v>239.99879999999996</v>
      </c>
      <c r="L908">
        <v>231.79500000000002</v>
      </c>
    </row>
    <row r="909" spans="10:12" x14ac:dyDescent="0.2">
      <c r="J909">
        <v>908</v>
      </c>
      <c r="K909">
        <v>235.1738</v>
      </c>
      <c r="L909">
        <v>226.755</v>
      </c>
    </row>
    <row r="910" spans="10:12" x14ac:dyDescent="0.2">
      <c r="J910">
        <v>909</v>
      </c>
      <c r="K910">
        <v>229.37740000000005</v>
      </c>
      <c r="L910">
        <v>227.95999999999998</v>
      </c>
    </row>
    <row r="911" spans="10:12" x14ac:dyDescent="0.2">
      <c r="J911">
        <v>910</v>
      </c>
      <c r="K911">
        <v>230.41699999999997</v>
      </c>
      <c r="L911">
        <v>226.64</v>
      </c>
    </row>
    <row r="912" spans="10:12" x14ac:dyDescent="0.2">
      <c r="J912">
        <v>911</v>
      </c>
      <c r="K912">
        <v>234.48519999999999</v>
      </c>
      <c r="L912">
        <v>219.56</v>
      </c>
    </row>
    <row r="913" spans="10:12" x14ac:dyDescent="0.2">
      <c r="J913">
        <v>912</v>
      </c>
      <c r="K913">
        <v>225.05080000000007</v>
      </c>
      <c r="L913">
        <v>218.94</v>
      </c>
    </row>
    <row r="914" spans="10:12" x14ac:dyDescent="0.2">
      <c r="J914">
        <v>913</v>
      </c>
      <c r="K914">
        <v>235.53359999999989</v>
      </c>
      <c r="L914">
        <v>237.13</v>
      </c>
    </row>
    <row r="915" spans="10:12" x14ac:dyDescent="0.2">
      <c r="J915">
        <v>914</v>
      </c>
      <c r="K915">
        <v>251.38</v>
      </c>
      <c r="L915">
        <v>242.82499999999999</v>
      </c>
    </row>
    <row r="916" spans="10:12" x14ac:dyDescent="0.2">
      <c r="J916">
        <v>915</v>
      </c>
      <c r="K916">
        <v>244.94500000000008</v>
      </c>
      <c r="L916">
        <v>229.28</v>
      </c>
    </row>
    <row r="917" spans="10:12" x14ac:dyDescent="0.2">
      <c r="J917">
        <v>916</v>
      </c>
      <c r="K917">
        <v>249.09600000000012</v>
      </c>
      <c r="L917">
        <v>250.31</v>
      </c>
    </row>
    <row r="918" spans="10:12" x14ac:dyDescent="0.2">
      <c r="J918">
        <v>917</v>
      </c>
      <c r="K918">
        <v>244.00700000000009</v>
      </c>
      <c r="L918">
        <v>226.87</v>
      </c>
    </row>
    <row r="919" spans="10:12" x14ac:dyDescent="0.2">
      <c r="J919">
        <v>918</v>
      </c>
      <c r="K919">
        <v>245.49559999999997</v>
      </c>
      <c r="L919">
        <v>236.92500000000001</v>
      </c>
    </row>
    <row r="920" spans="10:12" x14ac:dyDescent="0.2">
      <c r="J920">
        <v>919</v>
      </c>
      <c r="K920">
        <v>232.71540000000002</v>
      </c>
      <c r="L920">
        <v>243.26999999999998</v>
      </c>
    </row>
    <row r="921" spans="10:12" x14ac:dyDescent="0.2">
      <c r="J921">
        <v>920</v>
      </c>
      <c r="K921">
        <v>232.37279999999998</v>
      </c>
      <c r="L921">
        <v>228.07499999999999</v>
      </c>
    </row>
    <row r="922" spans="10:12" x14ac:dyDescent="0.2">
      <c r="J922">
        <v>921</v>
      </c>
      <c r="K922">
        <v>247.79140000000007</v>
      </c>
      <c r="L922">
        <v>231.79500000000002</v>
      </c>
    </row>
    <row r="923" spans="10:12" x14ac:dyDescent="0.2">
      <c r="J923">
        <v>922</v>
      </c>
      <c r="K923">
        <v>244.31239999999994</v>
      </c>
      <c r="L923">
        <v>243.26999999999998</v>
      </c>
    </row>
    <row r="924" spans="10:12" x14ac:dyDescent="0.2">
      <c r="J924">
        <v>923</v>
      </c>
      <c r="K924">
        <v>252.17060000000001</v>
      </c>
      <c r="L924">
        <v>250.31</v>
      </c>
    </row>
    <row r="925" spans="10:12" x14ac:dyDescent="0.2">
      <c r="J925">
        <v>924</v>
      </c>
      <c r="K925">
        <v>230.49540000000007</v>
      </c>
      <c r="L925">
        <v>223.7</v>
      </c>
    </row>
    <row r="926" spans="10:12" x14ac:dyDescent="0.2">
      <c r="J926">
        <v>925</v>
      </c>
      <c r="K926">
        <v>234.86579999999995</v>
      </c>
      <c r="L926">
        <v>226.755</v>
      </c>
    </row>
    <row r="927" spans="10:12" x14ac:dyDescent="0.2">
      <c r="J927">
        <v>926</v>
      </c>
      <c r="K927">
        <v>235.30119999999997</v>
      </c>
      <c r="L927">
        <v>227.95999999999998</v>
      </c>
    </row>
    <row r="928" spans="10:12" x14ac:dyDescent="0.2">
      <c r="J928">
        <v>927</v>
      </c>
      <c r="K928">
        <v>224.67480000000003</v>
      </c>
      <c r="L928">
        <v>218.65</v>
      </c>
    </row>
    <row r="929" spans="10:12" x14ac:dyDescent="0.2">
      <c r="J929">
        <v>928</v>
      </c>
      <c r="K929">
        <v>251.27380000000008</v>
      </c>
      <c r="L929">
        <v>254.45999999999998</v>
      </c>
    </row>
    <row r="930" spans="10:12" x14ac:dyDescent="0.2">
      <c r="J930">
        <v>929</v>
      </c>
      <c r="K930">
        <v>230.41600000000005</v>
      </c>
      <c r="L930">
        <v>223.815</v>
      </c>
    </row>
    <row r="931" spans="10:12" x14ac:dyDescent="0.2">
      <c r="J931">
        <v>930</v>
      </c>
      <c r="K931">
        <v>243.98520000000008</v>
      </c>
      <c r="L931">
        <v>243.065</v>
      </c>
    </row>
    <row r="932" spans="10:12" x14ac:dyDescent="0.2">
      <c r="J932">
        <v>931</v>
      </c>
      <c r="K932">
        <v>248.43620000000001</v>
      </c>
      <c r="L932">
        <v>242.82499999999999</v>
      </c>
    </row>
    <row r="933" spans="10:12" x14ac:dyDescent="0.2">
      <c r="J933">
        <v>932</v>
      </c>
      <c r="K933">
        <v>242.76960000000003</v>
      </c>
      <c r="L933">
        <v>226.87</v>
      </c>
    </row>
    <row r="934" spans="10:12" x14ac:dyDescent="0.2">
      <c r="J934">
        <v>933</v>
      </c>
      <c r="K934">
        <v>236.39019999999994</v>
      </c>
      <c r="L934">
        <v>226.87</v>
      </c>
    </row>
    <row r="935" spans="10:12" x14ac:dyDescent="0.2">
      <c r="J935">
        <v>934</v>
      </c>
      <c r="K935">
        <v>221.62240000000006</v>
      </c>
      <c r="L935">
        <v>220.76</v>
      </c>
    </row>
    <row r="936" spans="10:12" x14ac:dyDescent="0.2">
      <c r="J936">
        <v>935</v>
      </c>
      <c r="K936">
        <v>226.02200000000002</v>
      </c>
      <c r="L936">
        <v>219.56</v>
      </c>
    </row>
    <row r="937" spans="10:12" x14ac:dyDescent="0.2">
      <c r="J937">
        <v>936</v>
      </c>
      <c r="K937">
        <v>246.45699999999999</v>
      </c>
      <c r="L937">
        <v>250.51999999999998</v>
      </c>
    </row>
    <row r="938" spans="10:12" x14ac:dyDescent="0.2">
      <c r="J938">
        <v>937</v>
      </c>
      <c r="K938">
        <v>255.15940000000003</v>
      </c>
      <c r="L938">
        <v>253.44</v>
      </c>
    </row>
    <row r="939" spans="10:12" x14ac:dyDescent="0.2">
      <c r="J939">
        <v>938</v>
      </c>
      <c r="K939">
        <v>245.29259999999994</v>
      </c>
      <c r="L939">
        <v>257.16999999999996</v>
      </c>
    </row>
    <row r="940" spans="10:12" x14ac:dyDescent="0.2">
      <c r="J940">
        <v>939</v>
      </c>
      <c r="K940">
        <v>241.87099999999998</v>
      </c>
      <c r="L940">
        <v>233.20499999999998</v>
      </c>
    </row>
    <row r="941" spans="10:12" x14ac:dyDescent="0.2">
      <c r="J941">
        <v>940</v>
      </c>
      <c r="K941">
        <v>248.47740000000005</v>
      </c>
      <c r="L941">
        <v>229.28</v>
      </c>
    </row>
    <row r="942" spans="10:12" x14ac:dyDescent="0.2">
      <c r="J942">
        <v>941</v>
      </c>
      <c r="K942">
        <v>259.7276</v>
      </c>
      <c r="L942">
        <v>257.16999999999996</v>
      </c>
    </row>
    <row r="943" spans="10:12" x14ac:dyDescent="0.2">
      <c r="J943">
        <v>942</v>
      </c>
      <c r="K943">
        <v>214.28559999999999</v>
      </c>
      <c r="L943">
        <v>209.70499999999998</v>
      </c>
    </row>
    <row r="944" spans="10:12" x14ac:dyDescent="0.2">
      <c r="J944">
        <v>943</v>
      </c>
      <c r="K944">
        <v>233.10960000000011</v>
      </c>
      <c r="L944">
        <v>228.07499999999999</v>
      </c>
    </row>
    <row r="945" spans="10:12" x14ac:dyDescent="0.2">
      <c r="J945">
        <v>944</v>
      </c>
      <c r="K945">
        <v>230.93900000000002</v>
      </c>
      <c r="L945">
        <v>218.36</v>
      </c>
    </row>
    <row r="946" spans="10:12" x14ac:dyDescent="0.2">
      <c r="J946">
        <v>945</v>
      </c>
      <c r="K946">
        <v>233.18539999999996</v>
      </c>
      <c r="L946">
        <v>231.68</v>
      </c>
    </row>
    <row r="947" spans="10:12" x14ac:dyDescent="0.2">
      <c r="J947">
        <v>946</v>
      </c>
      <c r="K947">
        <v>242.21560000000002</v>
      </c>
      <c r="L947">
        <v>250.51999999999998</v>
      </c>
    </row>
    <row r="948" spans="10:12" x14ac:dyDescent="0.2">
      <c r="J948">
        <v>947</v>
      </c>
      <c r="K948">
        <v>252.88640000000004</v>
      </c>
      <c r="L948">
        <v>249.41500000000002</v>
      </c>
    </row>
    <row r="949" spans="10:12" x14ac:dyDescent="0.2">
      <c r="J949">
        <v>948</v>
      </c>
      <c r="K949">
        <v>235.48020000000005</v>
      </c>
      <c r="L949">
        <v>226.755</v>
      </c>
    </row>
    <row r="950" spans="10:12" x14ac:dyDescent="0.2">
      <c r="J950">
        <v>949</v>
      </c>
      <c r="K950">
        <v>249.37560000000002</v>
      </c>
      <c r="L950">
        <v>253.23</v>
      </c>
    </row>
    <row r="951" spans="10:12" x14ac:dyDescent="0.2">
      <c r="J951">
        <v>950</v>
      </c>
      <c r="K951">
        <v>240.82860000000008</v>
      </c>
      <c r="L951">
        <v>228.07499999999999</v>
      </c>
    </row>
    <row r="952" spans="10:12" x14ac:dyDescent="0.2">
      <c r="J952">
        <v>951</v>
      </c>
      <c r="K952">
        <v>246.28840000000002</v>
      </c>
      <c r="L952">
        <v>229.28</v>
      </c>
    </row>
    <row r="953" spans="10:12" x14ac:dyDescent="0.2">
      <c r="J953">
        <v>952</v>
      </c>
      <c r="K953">
        <v>238.14540000000005</v>
      </c>
      <c r="L953">
        <v>237.13</v>
      </c>
    </row>
    <row r="954" spans="10:12" x14ac:dyDescent="0.2">
      <c r="J954">
        <v>953</v>
      </c>
      <c r="K954">
        <v>229.14240000000007</v>
      </c>
      <c r="L954">
        <v>223.7</v>
      </c>
    </row>
    <row r="955" spans="10:12" x14ac:dyDescent="0.2">
      <c r="J955">
        <v>954</v>
      </c>
      <c r="K955">
        <v>244.68139999999991</v>
      </c>
      <c r="L955">
        <v>250.31</v>
      </c>
    </row>
    <row r="956" spans="10:12" x14ac:dyDescent="0.2">
      <c r="J956">
        <v>955</v>
      </c>
      <c r="K956">
        <v>258.89299999999992</v>
      </c>
      <c r="L956">
        <v>227.95999999999998</v>
      </c>
    </row>
    <row r="957" spans="10:12" x14ac:dyDescent="0.2">
      <c r="J957">
        <v>956</v>
      </c>
      <c r="K957">
        <v>256.98160000000001</v>
      </c>
      <c r="L957">
        <v>254.25</v>
      </c>
    </row>
    <row r="958" spans="10:12" x14ac:dyDescent="0.2">
      <c r="J958">
        <v>957</v>
      </c>
      <c r="K958">
        <v>245.61819999999992</v>
      </c>
      <c r="L958">
        <v>248.965</v>
      </c>
    </row>
    <row r="959" spans="10:12" x14ac:dyDescent="0.2">
      <c r="J959">
        <v>958</v>
      </c>
      <c r="K959">
        <v>232.86559999999997</v>
      </c>
      <c r="L959">
        <v>226.87</v>
      </c>
    </row>
    <row r="960" spans="10:12" x14ac:dyDescent="0.2">
      <c r="J960">
        <v>959</v>
      </c>
      <c r="K960">
        <v>248.75780000000003</v>
      </c>
      <c r="L960">
        <v>250.07</v>
      </c>
    </row>
    <row r="961" spans="10:12" x14ac:dyDescent="0.2">
      <c r="J961">
        <v>960</v>
      </c>
      <c r="K961">
        <v>235.70460000000006</v>
      </c>
      <c r="L961">
        <v>220.76</v>
      </c>
    </row>
    <row r="962" spans="10:12" x14ac:dyDescent="0.2">
      <c r="J962">
        <v>961</v>
      </c>
      <c r="K962">
        <v>229.4032</v>
      </c>
      <c r="L962">
        <v>236.92500000000001</v>
      </c>
    </row>
    <row r="963" spans="10:12" x14ac:dyDescent="0.2">
      <c r="J963">
        <v>962</v>
      </c>
      <c r="K963">
        <v>245.68900000000002</v>
      </c>
      <c r="L963">
        <v>243.26999999999998</v>
      </c>
    </row>
    <row r="964" spans="10:12" x14ac:dyDescent="0.2">
      <c r="J964">
        <v>963</v>
      </c>
      <c r="K964">
        <v>234.40020000000001</v>
      </c>
      <c r="L964">
        <v>249.41500000000002</v>
      </c>
    </row>
    <row r="965" spans="10:12" x14ac:dyDescent="0.2">
      <c r="J965">
        <v>964</v>
      </c>
      <c r="K965">
        <v>240.00060000000002</v>
      </c>
      <c r="L965">
        <v>227.95999999999998</v>
      </c>
    </row>
    <row r="966" spans="10:12" x14ac:dyDescent="0.2">
      <c r="J966">
        <v>965</v>
      </c>
      <c r="K966">
        <v>242.58680000000001</v>
      </c>
      <c r="L966">
        <v>248.965</v>
      </c>
    </row>
    <row r="967" spans="10:12" x14ac:dyDescent="0.2">
      <c r="J967">
        <v>966</v>
      </c>
      <c r="K967">
        <v>259.77960000000002</v>
      </c>
      <c r="L967">
        <v>257.16999999999996</v>
      </c>
    </row>
    <row r="968" spans="10:12" x14ac:dyDescent="0.2">
      <c r="J968">
        <v>967</v>
      </c>
      <c r="K968">
        <v>247.71300000000002</v>
      </c>
      <c r="L968">
        <v>248.52</v>
      </c>
    </row>
    <row r="969" spans="10:12" x14ac:dyDescent="0.2">
      <c r="J969">
        <v>968</v>
      </c>
      <c r="K969">
        <v>240.82400000000004</v>
      </c>
      <c r="L969">
        <v>242.82499999999999</v>
      </c>
    </row>
    <row r="970" spans="10:12" x14ac:dyDescent="0.2">
      <c r="J970">
        <v>969</v>
      </c>
      <c r="K970">
        <v>227.16459999999998</v>
      </c>
      <c r="L970">
        <v>216.875</v>
      </c>
    </row>
    <row r="971" spans="10:12" x14ac:dyDescent="0.2">
      <c r="J971">
        <v>970</v>
      </c>
      <c r="K971">
        <v>247.63500000000005</v>
      </c>
      <c r="L971">
        <v>233</v>
      </c>
    </row>
    <row r="972" spans="10:12" x14ac:dyDescent="0.2">
      <c r="J972">
        <v>971</v>
      </c>
      <c r="K972">
        <v>244.31979999999996</v>
      </c>
      <c r="L972">
        <v>249.41</v>
      </c>
    </row>
    <row r="973" spans="10:12" x14ac:dyDescent="0.2">
      <c r="J973">
        <v>972</v>
      </c>
      <c r="K973">
        <v>258.50520000000017</v>
      </c>
      <c r="L973">
        <v>254.45999999999998</v>
      </c>
    </row>
    <row r="974" spans="10:12" x14ac:dyDescent="0.2">
      <c r="J974">
        <v>973</v>
      </c>
      <c r="K974">
        <v>229.66899999999998</v>
      </c>
      <c r="L974">
        <v>232</v>
      </c>
    </row>
    <row r="975" spans="10:12" x14ac:dyDescent="0.2">
      <c r="J975">
        <v>974</v>
      </c>
      <c r="K975">
        <v>236.02300000000002</v>
      </c>
      <c r="L975">
        <v>223.815</v>
      </c>
    </row>
    <row r="976" spans="10:12" x14ac:dyDescent="0.2">
      <c r="J976">
        <v>975</v>
      </c>
      <c r="K976">
        <v>238.75559999999993</v>
      </c>
      <c r="L976">
        <v>250.07</v>
      </c>
    </row>
    <row r="977" spans="10:12" x14ac:dyDescent="0.2">
      <c r="J977">
        <v>976</v>
      </c>
      <c r="K977">
        <v>242.89700000000002</v>
      </c>
      <c r="L977">
        <v>250.31</v>
      </c>
    </row>
    <row r="978" spans="10:12" x14ac:dyDescent="0.2">
      <c r="J978">
        <v>977</v>
      </c>
      <c r="K978">
        <v>243.04660000000001</v>
      </c>
      <c r="L978">
        <v>250.07</v>
      </c>
    </row>
    <row r="979" spans="10:12" x14ac:dyDescent="0.2">
      <c r="J979">
        <v>978</v>
      </c>
      <c r="K979">
        <v>236.24620000000007</v>
      </c>
      <c r="L979">
        <v>229.28</v>
      </c>
    </row>
    <row r="980" spans="10:12" x14ac:dyDescent="0.2">
      <c r="J980">
        <v>979</v>
      </c>
      <c r="K980">
        <v>229.8730000000001</v>
      </c>
      <c r="L980">
        <v>233.20499999999998</v>
      </c>
    </row>
    <row r="981" spans="10:12" x14ac:dyDescent="0.2">
      <c r="J981">
        <v>980</v>
      </c>
      <c r="K981">
        <v>250.38620000000014</v>
      </c>
      <c r="L981">
        <v>236.92500000000001</v>
      </c>
    </row>
    <row r="982" spans="10:12" x14ac:dyDescent="0.2">
      <c r="J982">
        <v>981</v>
      </c>
      <c r="K982">
        <v>236.04119999999989</v>
      </c>
      <c r="L982">
        <v>242.62</v>
      </c>
    </row>
    <row r="983" spans="10:12" x14ac:dyDescent="0.2">
      <c r="J983">
        <v>982</v>
      </c>
      <c r="K983">
        <v>240.7360000000001</v>
      </c>
      <c r="L983">
        <v>232</v>
      </c>
    </row>
    <row r="984" spans="10:12" x14ac:dyDescent="0.2">
      <c r="J984">
        <v>983</v>
      </c>
      <c r="K984">
        <v>236.18459999999996</v>
      </c>
      <c r="L984">
        <v>236.92500000000001</v>
      </c>
    </row>
    <row r="985" spans="10:12" x14ac:dyDescent="0.2">
      <c r="J985">
        <v>984</v>
      </c>
      <c r="K985">
        <v>246.74140000000003</v>
      </c>
      <c r="L985">
        <v>236.72</v>
      </c>
    </row>
    <row r="986" spans="10:12" x14ac:dyDescent="0.2">
      <c r="J986">
        <v>985</v>
      </c>
      <c r="K986">
        <v>256.06619999999998</v>
      </c>
      <c r="L986">
        <v>243.065</v>
      </c>
    </row>
    <row r="987" spans="10:12" x14ac:dyDescent="0.2">
      <c r="J987">
        <v>986</v>
      </c>
      <c r="K987">
        <v>229.93759999999995</v>
      </c>
      <c r="L987">
        <v>229.28</v>
      </c>
    </row>
    <row r="988" spans="10:12" x14ac:dyDescent="0.2">
      <c r="J988">
        <v>987</v>
      </c>
      <c r="K988">
        <v>253.13340000000008</v>
      </c>
      <c r="L988">
        <v>250.73</v>
      </c>
    </row>
    <row r="989" spans="10:12" x14ac:dyDescent="0.2">
      <c r="J989">
        <v>988</v>
      </c>
      <c r="K989">
        <v>232.92960000000005</v>
      </c>
      <c r="L989">
        <v>226.64</v>
      </c>
    </row>
    <row r="990" spans="10:12" x14ac:dyDescent="0.2">
      <c r="J990">
        <v>989</v>
      </c>
      <c r="K990">
        <v>240.57840000000007</v>
      </c>
      <c r="L990">
        <v>248.965</v>
      </c>
    </row>
    <row r="991" spans="10:12" x14ac:dyDescent="0.2">
      <c r="J991">
        <v>990</v>
      </c>
      <c r="K991">
        <v>236.80279999999999</v>
      </c>
      <c r="L991">
        <v>226.755</v>
      </c>
    </row>
    <row r="992" spans="10:12" x14ac:dyDescent="0.2">
      <c r="J992">
        <v>991</v>
      </c>
      <c r="K992">
        <v>244.19499999999999</v>
      </c>
      <c r="L992">
        <v>242.62</v>
      </c>
    </row>
    <row r="993" spans="10:12" x14ac:dyDescent="0.2">
      <c r="J993">
        <v>992</v>
      </c>
      <c r="K993">
        <v>254.65679999999998</v>
      </c>
      <c r="L993">
        <v>256.14999999999998</v>
      </c>
    </row>
    <row r="994" spans="10:12" x14ac:dyDescent="0.2">
      <c r="J994">
        <v>993</v>
      </c>
      <c r="K994">
        <v>220.30740000000003</v>
      </c>
      <c r="L994">
        <v>216.28</v>
      </c>
    </row>
    <row r="995" spans="10:12" x14ac:dyDescent="0.2">
      <c r="J995">
        <v>994</v>
      </c>
      <c r="K995">
        <v>238.74219999999997</v>
      </c>
      <c r="L995">
        <v>242.62</v>
      </c>
    </row>
    <row r="996" spans="10:12" x14ac:dyDescent="0.2">
      <c r="J996">
        <v>995</v>
      </c>
      <c r="K996">
        <v>238.56239999999994</v>
      </c>
      <c r="L996">
        <v>236.72</v>
      </c>
    </row>
    <row r="997" spans="10:12" x14ac:dyDescent="0.2">
      <c r="J997">
        <v>996</v>
      </c>
      <c r="K997">
        <v>234.9249999999999</v>
      </c>
      <c r="L997">
        <v>243.72</v>
      </c>
    </row>
    <row r="998" spans="10:12" x14ac:dyDescent="0.2">
      <c r="J998">
        <v>997</v>
      </c>
      <c r="K998">
        <v>262.66980000000001</v>
      </c>
      <c r="L998">
        <v>267.2</v>
      </c>
    </row>
    <row r="999" spans="10:12" x14ac:dyDescent="0.2">
      <c r="J999">
        <v>998</v>
      </c>
      <c r="K999">
        <v>217.58480000000012</v>
      </c>
      <c r="L999">
        <v>217.32</v>
      </c>
    </row>
    <row r="1000" spans="10:12" x14ac:dyDescent="0.2">
      <c r="J1000">
        <v>999</v>
      </c>
      <c r="K1000">
        <v>255.27179999999993</v>
      </c>
      <c r="L1000">
        <v>250.73</v>
      </c>
    </row>
    <row r="1001" spans="10:12" x14ac:dyDescent="0.2">
      <c r="J1001">
        <v>1000</v>
      </c>
      <c r="K1001">
        <v>245.60420000000002</v>
      </c>
      <c r="L1001">
        <v>236.72</v>
      </c>
    </row>
    <row r="1002" spans="10:12" x14ac:dyDescent="0.2">
      <c r="J1002">
        <v>1001</v>
      </c>
      <c r="K1002">
        <v>244.03880000000004</v>
      </c>
      <c r="L1002">
        <v>242.62</v>
      </c>
    </row>
  </sheetData>
  <phoneticPr fontId="19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bakery_customers</vt:lpstr>
      <vt:lpstr>Bootstrap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kenya harvey</dc:creator>
  <cp:lastModifiedBy>kenya harvey</cp:lastModifiedBy>
  <dcterms:created xsi:type="dcterms:W3CDTF">2026-08-07T09:48:06Z</dcterms:created>
  <dcterms:modified xsi:type="dcterms:W3CDTF">2026-08-18T10:16:07Z</dcterms:modified>
</cp:coreProperties>
</file>